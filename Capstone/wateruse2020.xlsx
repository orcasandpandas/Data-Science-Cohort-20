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W:\Water Use Report\2020 WUR\WUR docs\For NM Water Data\"/>
    </mc:Choice>
  </mc:AlternateContent>
  <xr:revisionPtr revIDLastSave="0" documentId="13_ncr:1_{3A2A801E-8579-43EC-90E8-C8E8FCB77D8C}" xr6:coauthVersionLast="47" xr6:coauthVersionMax="47" xr10:uidLastSave="{00000000-0000-0000-0000-000000000000}"/>
  <bookViews>
    <workbookView xWindow="28680" yWindow="-120" windowWidth="29040" windowHeight="17640" tabRatio="877" xr2:uid="{00000000-000D-0000-FFFF-FFFF00000000}"/>
  </bookViews>
  <sheets>
    <sheet name="Metadata" sheetId="11" r:id="rId1"/>
    <sheet name="1. Pop" sheetId="1" r:id="rId2"/>
    <sheet name="2. StateWith" sheetId="2" r:id="rId3"/>
    <sheet name="3. Category%" sheetId="3" r:id="rId4"/>
    <sheet name="4. %Measured" sheetId="4" r:id="rId5"/>
    <sheet name="5. CountyWith" sheetId="5" r:id="rId6"/>
    <sheet name="6. RvbWith" sheetId="6" r:id="rId7"/>
    <sheet name="7. PWS&amp;Dom" sheetId="7" r:id="rId8"/>
    <sheet name="8. IrrigatedAg" sheetId="8" r:id="rId9"/>
    <sheet name="9. AcresCounty" sheetId="9" r:id="rId10"/>
    <sheet name="10. AcresRvb" sheetId="10" r:id="rId11"/>
    <sheet name="Livestock populations" sheetId="12" r:id="rId12"/>
    <sheet name="Livestock withdrawals" sheetId="16" r:id="rId13"/>
    <sheet name="Power" sheetId="14" r:id="rId14"/>
    <sheet name="Reservoirs" sheetId="13" r:id="rId15"/>
    <sheet name="CropTypes" sheetId="15"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95" i="16" l="1"/>
  <c r="G395" i="16"/>
  <c r="H395" i="16"/>
  <c r="F388" i="16"/>
  <c r="G388" i="16"/>
  <c r="H388" i="16"/>
  <c r="F381" i="16"/>
  <c r="G381" i="16"/>
  <c r="H381" i="16"/>
  <c r="F368" i="16"/>
  <c r="G368" i="16"/>
  <c r="H368" i="16"/>
  <c r="F361" i="16"/>
  <c r="G361" i="16"/>
  <c r="H361" i="16"/>
  <c r="F354" i="16"/>
  <c r="G354" i="16"/>
  <c r="H354" i="16"/>
  <c r="F341" i="16"/>
  <c r="G341" i="16"/>
  <c r="H341" i="16"/>
  <c r="F328" i="16"/>
  <c r="G328" i="16"/>
  <c r="H328" i="16"/>
  <c r="F315" i="16"/>
  <c r="G315" i="16"/>
  <c r="H315" i="16"/>
  <c r="F296" i="16"/>
  <c r="G296" i="16"/>
  <c r="H296" i="16"/>
  <c r="F289" i="16"/>
  <c r="G289" i="16"/>
  <c r="H289" i="16"/>
  <c r="F276" i="16"/>
  <c r="G276" i="16"/>
  <c r="H276" i="16"/>
  <c r="F263" i="16"/>
  <c r="G263" i="16"/>
  <c r="H263" i="16"/>
  <c r="F250" i="16"/>
  <c r="G250" i="16"/>
  <c r="H250" i="16"/>
  <c r="F237" i="16"/>
  <c r="G237" i="16"/>
  <c r="H237" i="16"/>
  <c r="F218" i="16"/>
  <c r="G218" i="16"/>
  <c r="H218" i="16"/>
  <c r="F199" i="16"/>
  <c r="G199" i="16"/>
  <c r="H199" i="16"/>
  <c r="F186" i="16"/>
  <c r="G186" i="16"/>
  <c r="H186" i="16"/>
  <c r="F179" i="16"/>
  <c r="G179" i="16"/>
  <c r="H179" i="16"/>
  <c r="F166" i="16"/>
  <c r="G166" i="16"/>
  <c r="H166" i="16"/>
  <c r="F153" i="16"/>
  <c r="G153" i="16"/>
  <c r="H153" i="16"/>
  <c r="F140" i="16"/>
  <c r="G140" i="16"/>
  <c r="H140" i="16"/>
  <c r="F133" i="16"/>
  <c r="G133" i="16"/>
  <c r="H133" i="16"/>
  <c r="F120" i="16"/>
  <c r="G120" i="16"/>
  <c r="H120" i="16"/>
  <c r="F107" i="16"/>
  <c r="G107" i="16"/>
  <c r="H107" i="16"/>
  <c r="F94" i="16"/>
  <c r="G94" i="16"/>
  <c r="H94" i="16"/>
  <c r="F87" i="16"/>
  <c r="G87" i="16"/>
  <c r="H87" i="16"/>
  <c r="F80" i="16"/>
  <c r="G80" i="16"/>
  <c r="H80" i="16"/>
  <c r="F61" i="16"/>
  <c r="G61" i="16"/>
  <c r="H61" i="16"/>
  <c r="F54" i="16"/>
  <c r="G54" i="16"/>
  <c r="H54" i="16"/>
  <c r="F41" i="16"/>
  <c r="G41" i="16"/>
  <c r="H41" i="16"/>
  <c r="F22" i="16"/>
  <c r="G22" i="16"/>
  <c r="H22" i="16"/>
  <c r="F9" i="16"/>
  <c r="G9" i="16"/>
  <c r="H9" i="16"/>
  <c r="F396" i="16" l="1"/>
  <c r="H396" i="16"/>
  <c r="G396" i="16"/>
  <c r="L33" i="14" l="1"/>
  <c r="K33" i="14"/>
  <c r="F63" i="6" l="1"/>
  <c r="E63" i="6"/>
  <c r="D63" i="6"/>
  <c r="F53" i="6"/>
  <c r="E53" i="6"/>
  <c r="D53" i="6"/>
  <c r="F43" i="6"/>
  <c r="E43" i="6"/>
  <c r="D43" i="6"/>
  <c r="F23" i="6"/>
  <c r="E23" i="6"/>
  <c r="D23" i="6"/>
  <c r="F33" i="6"/>
  <c r="E33" i="6"/>
  <c r="D33" i="6"/>
  <c r="E13" i="6"/>
  <c r="F13" i="6"/>
  <c r="D13" i="6"/>
  <c r="G333" i="5"/>
  <c r="F333" i="5"/>
  <c r="E333" i="5"/>
  <c r="G323" i="5"/>
  <c r="F323" i="5"/>
  <c r="E323" i="5"/>
  <c r="G313" i="5"/>
  <c r="F313" i="5"/>
  <c r="E313" i="5"/>
  <c r="G303" i="5"/>
  <c r="F303" i="5"/>
  <c r="E303" i="5"/>
  <c r="G293" i="5"/>
  <c r="F293" i="5"/>
  <c r="E293" i="5"/>
  <c r="G283" i="5"/>
  <c r="F283" i="5"/>
  <c r="E283" i="5"/>
  <c r="G273" i="5"/>
  <c r="F273" i="5"/>
  <c r="E273" i="5"/>
  <c r="G263" i="5"/>
  <c r="F263" i="5"/>
  <c r="E263" i="5"/>
  <c r="G253" i="5"/>
  <c r="F253" i="5"/>
  <c r="E253" i="5"/>
  <c r="G243" i="5"/>
  <c r="F243" i="5"/>
  <c r="E243" i="5"/>
  <c r="G233" i="5"/>
  <c r="F233" i="5"/>
  <c r="E233" i="5"/>
  <c r="G223" i="5"/>
  <c r="F223" i="5"/>
  <c r="E223" i="5"/>
  <c r="G213" i="5"/>
  <c r="F213" i="5"/>
  <c r="E213" i="5"/>
  <c r="G203" i="5"/>
  <c r="F203" i="5"/>
  <c r="E203" i="5"/>
  <c r="G193" i="5"/>
  <c r="F193" i="5"/>
  <c r="E193" i="5"/>
  <c r="G183" i="5"/>
  <c r="F183" i="5"/>
  <c r="E183" i="5"/>
  <c r="G173" i="5"/>
  <c r="F173" i="5"/>
  <c r="E173" i="5"/>
  <c r="G163" i="5"/>
  <c r="F163" i="5"/>
  <c r="E163" i="5"/>
  <c r="G153" i="5"/>
  <c r="F153" i="5"/>
  <c r="E153" i="5"/>
  <c r="G143" i="5"/>
  <c r="F143" i="5"/>
  <c r="E143" i="5"/>
  <c r="G133" i="5"/>
  <c r="F133" i="5"/>
  <c r="E133" i="5"/>
  <c r="G123" i="5"/>
  <c r="F123" i="5"/>
  <c r="E123" i="5"/>
  <c r="G113" i="5"/>
  <c r="F113" i="5"/>
  <c r="E113" i="5"/>
  <c r="G103" i="5"/>
  <c r="F103" i="5"/>
  <c r="E103" i="5"/>
  <c r="G93" i="5"/>
  <c r="F93" i="5"/>
  <c r="E93" i="5"/>
  <c r="G83" i="5"/>
  <c r="F83" i="5"/>
  <c r="E83" i="5"/>
  <c r="G73" i="5"/>
  <c r="F73" i="5"/>
  <c r="E73" i="5"/>
  <c r="G63" i="5"/>
  <c r="F63" i="5"/>
  <c r="E63" i="5"/>
  <c r="G53" i="5"/>
  <c r="F53" i="5"/>
  <c r="E53" i="5"/>
  <c r="G43" i="5"/>
  <c r="F43" i="5"/>
  <c r="E43" i="5"/>
  <c r="G33" i="5"/>
  <c r="F33" i="5"/>
  <c r="E33" i="5"/>
  <c r="G23" i="5"/>
  <c r="F23" i="5"/>
  <c r="E23" i="5"/>
  <c r="F13" i="5"/>
  <c r="G13" i="5"/>
  <c r="E13" i="5"/>
  <c r="E6" i="3"/>
  <c r="F6" i="3"/>
  <c r="E7" i="3"/>
  <c r="F7" i="3"/>
  <c r="E8" i="3"/>
  <c r="F8" i="3"/>
  <c r="E9" i="3"/>
  <c r="F9" i="3"/>
  <c r="E10" i="3"/>
  <c r="F10" i="3"/>
  <c r="E11" i="3"/>
  <c r="F11" i="3"/>
  <c r="E12" i="3"/>
  <c r="F12" i="3"/>
  <c r="E13" i="3"/>
  <c r="F13" i="3"/>
  <c r="F5" i="3"/>
  <c r="E5" i="3"/>
  <c r="D13" i="2"/>
  <c r="E13" i="2"/>
  <c r="C11" i="3" s="1"/>
  <c r="C13" i="2"/>
  <c r="F334" i="5" l="1"/>
  <c r="E334" i="5"/>
  <c r="G334" i="5"/>
  <c r="D64" i="6"/>
  <c r="F14" i="3"/>
  <c r="C9" i="3"/>
  <c r="C10" i="3"/>
  <c r="F64" i="6"/>
  <c r="E64" i="6"/>
  <c r="E14" i="3"/>
  <c r="C7" i="3"/>
  <c r="C6" i="3"/>
  <c r="C14" i="3"/>
  <c r="C13" i="3"/>
  <c r="C5" i="3"/>
  <c r="C12" i="3"/>
  <c r="C8" i="3"/>
</calcChain>
</file>

<file path=xl/sharedStrings.xml><?xml version="1.0" encoding="utf-8"?>
<sst xmlns="http://schemas.openxmlformats.org/spreadsheetml/2006/main" count="4756" uniqueCount="979">
  <si>
    <t>Table 1.  Populations in New Mexico river basins, 2020.</t>
  </si>
  <si>
    <t>River Basin</t>
  </si>
  <si>
    <t>Category</t>
  </si>
  <si>
    <t>Population</t>
  </si>
  <si>
    <t>% Population</t>
  </si>
  <si>
    <t>Arkansas-White-Red</t>
  </si>
  <si>
    <t>Domestic (self-supplied)</t>
  </si>
  <si>
    <t>Public Water Supply</t>
  </si>
  <si>
    <t>River Basin Totals</t>
  </si>
  <si>
    <t>Lower Colorado</t>
  </si>
  <si>
    <t>Pecos</t>
  </si>
  <si>
    <t>Rio Grande</t>
  </si>
  <si>
    <t>Texas Gulf</t>
  </si>
  <si>
    <t>Upper Colorado</t>
  </si>
  <si>
    <t>New Mexico</t>
  </si>
  <si>
    <t>State Totals</t>
  </si>
  <si>
    <t>Self-Supplied Domestic</t>
  </si>
  <si>
    <t>Table 2.  Summary of withdrawals (acre-feet) in New Mexico, 2020.</t>
  </si>
  <si>
    <t>WSW</t>
  </si>
  <si>
    <t>WGW</t>
  </si>
  <si>
    <t>TW</t>
  </si>
  <si>
    <t>Irrigated Agriculture</t>
  </si>
  <si>
    <t>Livestock (self-supplied)</t>
  </si>
  <si>
    <t>Commercial (self-supplied)</t>
  </si>
  <si>
    <t>Industrial (self-supplied)</t>
  </si>
  <si>
    <t>Mining (self-supplied)</t>
  </si>
  <si>
    <t>Power (self-supplied)</t>
  </si>
  <si>
    <t>Reservoir Evaporation</t>
  </si>
  <si>
    <t>Key:  WSW = withdrawal surface water; WGW = withdrawal groundwater; TW = total withdrawal.</t>
  </si>
  <si>
    <t>Surface water and groundwater component of each category.</t>
  </si>
  <si>
    <t>% WSW</t>
  </si>
  <si>
    <t>% WGW</t>
  </si>
  <si>
    <t>% of State Withdrawal</t>
  </si>
  <si>
    <t>Key:  WSW = withdrawal surface water; WGW = withdrawal groundwater.</t>
  </si>
  <si>
    <t>Table 4.  Percent of withdrawals measured in each water use category in New Mexico, 2020.</t>
  </si>
  <si>
    <t>MSW</t>
  </si>
  <si>
    <t>MGW</t>
  </si>
  <si>
    <t>MTW</t>
  </si>
  <si>
    <t>Key:  MSW = percent of surface water measured; MGW = percent of groundwater measured; MTW = percent of total withdrawals that were measured.</t>
  </si>
  <si>
    <t>Table 5.  Summary of withdrawals (acre-feet) in New Mexico counties, 2020.</t>
  </si>
  <si>
    <t>CN</t>
  </si>
  <si>
    <t>County</t>
  </si>
  <si>
    <t>County Totals</t>
  </si>
  <si>
    <t>Bernalillo</t>
  </si>
  <si>
    <t>Catron</t>
  </si>
  <si>
    <t>Chaves</t>
  </si>
  <si>
    <t>Cibola</t>
  </si>
  <si>
    <t>Colfax</t>
  </si>
  <si>
    <t>Curry</t>
  </si>
  <si>
    <t>De Baca</t>
  </si>
  <si>
    <r>
      <t>Do</t>
    </r>
    <r>
      <rPr>
        <sz val="11"/>
        <color theme="1"/>
        <rFont val="Aptos Narrow"/>
        <family val="2"/>
      </rPr>
      <t>ñ</t>
    </r>
    <r>
      <rPr>
        <sz val="11"/>
        <color theme="1"/>
        <rFont val="Calibri"/>
        <family val="2"/>
      </rPr>
      <t>a Ana</t>
    </r>
  </si>
  <si>
    <t>Eddy</t>
  </si>
  <si>
    <t>Grant</t>
  </si>
  <si>
    <t>Guadalupe</t>
  </si>
  <si>
    <t>Harding</t>
  </si>
  <si>
    <t>Hidalgo</t>
  </si>
  <si>
    <t>Lea</t>
  </si>
  <si>
    <t>Lincoln</t>
  </si>
  <si>
    <t>Los Alamos</t>
  </si>
  <si>
    <t>Luna</t>
  </si>
  <si>
    <t>McKinley</t>
  </si>
  <si>
    <t>Mora</t>
  </si>
  <si>
    <t>Otero</t>
  </si>
  <si>
    <t>Quay</t>
  </si>
  <si>
    <t>Rio Arriba</t>
  </si>
  <si>
    <t>Roosevelt</t>
  </si>
  <si>
    <t>Sandoval</t>
  </si>
  <si>
    <t>San Juan</t>
  </si>
  <si>
    <t>San Miguel</t>
  </si>
  <si>
    <t>Santa Fe</t>
  </si>
  <si>
    <t>Sierra</t>
  </si>
  <si>
    <t>Socorro</t>
  </si>
  <si>
    <t>Taos</t>
  </si>
  <si>
    <t>Torrance</t>
  </si>
  <si>
    <t>Union</t>
  </si>
  <si>
    <t>Valencia</t>
  </si>
  <si>
    <t>Key:  CN = county number; WSW = withdrawal surface water; WGW = withdrawal groundwater; TW = total withdrawal.</t>
  </si>
  <si>
    <t>Table 6.  Summary of withdrawals (acre-feet) in New Mexico river basins, 2020.</t>
  </si>
  <si>
    <t>RVB</t>
  </si>
  <si>
    <t>AWR</t>
  </si>
  <si>
    <t>LC</t>
  </si>
  <si>
    <t>P</t>
  </si>
  <si>
    <t>RG</t>
  </si>
  <si>
    <t>TG</t>
  </si>
  <si>
    <t>UC</t>
  </si>
  <si>
    <t>Table 7.  Public Water Supply and Self-Supplied Domestic in New Mexico counties, 2020. Withdrawals in acre-feet.</t>
  </si>
  <si>
    <t>User</t>
  </si>
  <si>
    <t>POP</t>
  </si>
  <si>
    <t>GPCD</t>
  </si>
  <si>
    <t>WEC</t>
  </si>
  <si>
    <t>WWC</t>
  </si>
  <si>
    <t>Locale</t>
  </si>
  <si>
    <t>T</t>
  </si>
  <si>
    <t>CIR</t>
  </si>
  <si>
    <t>ASWO</t>
  </si>
  <si>
    <t>AGWO</t>
  </si>
  <si>
    <t>ASWC</t>
  </si>
  <si>
    <t>AGWC</t>
  </si>
  <si>
    <t>TAI</t>
  </si>
  <si>
    <t>EF</t>
  </si>
  <si>
    <t>TFWSW</t>
  </si>
  <si>
    <t>EC</t>
  </si>
  <si>
    <t>TPWSW</t>
  </si>
  <si>
    <t>TPWGW</t>
  </si>
  <si>
    <t>F</t>
  </si>
  <si>
    <t>Apache/Aragon - SFR</t>
  </si>
  <si>
    <t>S</t>
  </si>
  <si>
    <t>--</t>
  </si>
  <si>
    <t>Glenwood - SFR</t>
  </si>
  <si>
    <t>Reserve - SFR</t>
  </si>
  <si>
    <t>Rio Hondo</t>
  </si>
  <si>
    <t>Rio Peñasco</t>
  </si>
  <si>
    <t>Rio San Jose</t>
  </si>
  <si>
    <t>Canadian River</t>
  </si>
  <si>
    <t>Capulin</t>
  </si>
  <si>
    <t>Dry Cimarron River</t>
  </si>
  <si>
    <t>Vermejo CD</t>
  </si>
  <si>
    <t>AWR Basin Scattered</t>
  </si>
  <si>
    <t>Pecos Basin Scattered</t>
  </si>
  <si>
    <t>Texas Gulf Basin Scattered</t>
  </si>
  <si>
    <t>Dona Ana</t>
  </si>
  <si>
    <t>Hueco GW Basin</t>
  </si>
  <si>
    <t>D</t>
  </si>
  <si>
    <t>Nutt-Hockett</t>
  </si>
  <si>
    <t>Outside EBID</t>
  </si>
  <si>
    <t>Santa Teresa Sod</t>
  </si>
  <si>
    <t>Black River</t>
  </si>
  <si>
    <t>Carlsbad Basin</t>
  </si>
  <si>
    <t>Gila River - Cliff Gila</t>
  </si>
  <si>
    <t>Gila River - Redrock</t>
  </si>
  <si>
    <t>Gila River - Upper Gila</t>
  </si>
  <si>
    <t>Lordsburg Valley</t>
  </si>
  <si>
    <t>Mimbres River</t>
  </si>
  <si>
    <t>Anton Chico</t>
  </si>
  <si>
    <t>Colonias</t>
  </si>
  <si>
    <t>Ute Creek</t>
  </si>
  <si>
    <t>Animas Valley</t>
  </si>
  <si>
    <t>Gila River - Virden Valley</t>
  </si>
  <si>
    <t>Playas</t>
  </si>
  <si>
    <t>Mimbres Basin</t>
  </si>
  <si>
    <t>Lower Colorado Basin Scattered</t>
  </si>
  <si>
    <t>Rio Grande Basin Scattered</t>
  </si>
  <si>
    <t>Salt Basin</t>
  </si>
  <si>
    <t>Tularosa GW Basin</t>
  </si>
  <si>
    <t>Arch Hurley CD</t>
  </si>
  <si>
    <t>House and Vicinity</t>
  </si>
  <si>
    <t>Rio Chama</t>
  </si>
  <si>
    <t>Santa Cruz and Vicinity</t>
  </si>
  <si>
    <t>Truchas and Vicinity</t>
  </si>
  <si>
    <t>Velarde and Vicinity</t>
  </si>
  <si>
    <t>Navajo River</t>
  </si>
  <si>
    <t>Causey Lingo Basin</t>
  </si>
  <si>
    <t>Portales Basin</t>
  </si>
  <si>
    <t>Jemez River</t>
  </si>
  <si>
    <t>Rio Puerco</t>
  </si>
  <si>
    <t>Animas River</t>
  </si>
  <si>
    <t>Hammond ID</t>
  </si>
  <si>
    <t>Pine River</t>
  </si>
  <si>
    <t>San Juan River</t>
  </si>
  <si>
    <t>Sapello Creek</t>
  </si>
  <si>
    <t>Storrie Irrigation Project</t>
  </si>
  <si>
    <t>Estancia GW Basin</t>
  </si>
  <si>
    <t>Pojoaque Valley ID</t>
  </si>
  <si>
    <t>Santa Fe and Vicinity</t>
  </si>
  <si>
    <t>Above EBID</t>
  </si>
  <si>
    <t>Lake Valley and Vicinity</t>
  </si>
  <si>
    <t>Las Animas Creek and Vicinity</t>
  </si>
  <si>
    <t>T or C and Vicinity</t>
  </si>
  <si>
    <t>Bosque del Apache</t>
  </si>
  <si>
    <t>La Joya</t>
  </si>
  <si>
    <t>San Agustin Plains</t>
  </si>
  <si>
    <t>Cerro and Questa</t>
  </si>
  <si>
    <t>Embudo and Vicinity</t>
  </si>
  <si>
    <t>Pilar and Vicinity</t>
  </si>
  <si>
    <t>Rio Costilla</t>
  </si>
  <si>
    <t>Taos and Vicinity</t>
  </si>
  <si>
    <t>Clayton and Scattered</t>
  </si>
  <si>
    <t>Tramperos Creek</t>
  </si>
  <si>
    <t>Key:  RVB = river basin; WSW = withdrawal surface water; WGW = withdrawal groundwater; TW = total withdrawal.</t>
  </si>
  <si>
    <r>
      <t>MRGCD</t>
    </r>
    <r>
      <rPr>
        <vertAlign val="superscript"/>
        <sz val="11"/>
        <color theme="1"/>
        <rFont val="Calibri"/>
        <family val="2"/>
        <scheme val="minor"/>
      </rPr>
      <t>1</t>
    </r>
  </si>
  <si>
    <r>
      <t>Glenwood - SFR</t>
    </r>
    <r>
      <rPr>
        <vertAlign val="superscript"/>
        <sz val="11"/>
        <color theme="1"/>
        <rFont val="Calibri"/>
        <family val="2"/>
        <scheme val="minor"/>
      </rPr>
      <t>1</t>
    </r>
  </si>
  <si>
    <r>
      <t>Luna - SFR</t>
    </r>
    <r>
      <rPr>
        <vertAlign val="superscript"/>
        <sz val="11"/>
        <color theme="1"/>
        <rFont val="Calibri"/>
        <family val="2"/>
        <scheme val="minor"/>
      </rPr>
      <t>1</t>
    </r>
  </si>
  <si>
    <r>
      <t>Reserve - SFR</t>
    </r>
    <r>
      <rPr>
        <vertAlign val="superscript"/>
        <sz val="11"/>
        <color theme="1"/>
        <rFont val="Calibri"/>
        <family val="2"/>
        <scheme val="minor"/>
      </rPr>
      <t>1</t>
    </r>
  </si>
  <si>
    <r>
      <t>RAB and Pecos Pumpers</t>
    </r>
    <r>
      <rPr>
        <vertAlign val="superscript"/>
        <sz val="11"/>
        <color theme="1"/>
        <rFont val="Calibri"/>
        <family val="2"/>
        <scheme val="minor"/>
      </rPr>
      <t>1</t>
    </r>
  </si>
  <si>
    <r>
      <t>Cimarron River</t>
    </r>
    <r>
      <rPr>
        <vertAlign val="superscript"/>
        <sz val="11"/>
        <color theme="1"/>
        <rFont val="Calibri"/>
        <family val="2"/>
        <scheme val="minor"/>
      </rPr>
      <t>1</t>
    </r>
  </si>
  <si>
    <r>
      <t>Ft. Sumner ID</t>
    </r>
    <r>
      <rPr>
        <vertAlign val="superscript"/>
        <sz val="11"/>
        <color theme="1"/>
        <rFont val="Calibri"/>
        <family val="2"/>
        <scheme val="minor"/>
      </rPr>
      <t>1</t>
    </r>
  </si>
  <si>
    <r>
      <t>Inside EBID</t>
    </r>
    <r>
      <rPr>
        <vertAlign val="superscript"/>
        <sz val="11"/>
        <color theme="1"/>
        <rFont val="Calibri"/>
        <family val="2"/>
        <scheme val="minor"/>
      </rPr>
      <t>1</t>
    </r>
  </si>
  <si>
    <r>
      <t>Carlsbad ID</t>
    </r>
    <r>
      <rPr>
        <vertAlign val="superscript"/>
        <sz val="11"/>
        <color theme="1"/>
        <rFont val="Calibri"/>
        <family val="2"/>
        <scheme val="minor"/>
      </rPr>
      <t>1</t>
    </r>
  </si>
  <si>
    <r>
      <t>Roswell Artesian Basin</t>
    </r>
    <r>
      <rPr>
        <vertAlign val="superscript"/>
        <sz val="11"/>
        <color theme="1"/>
        <rFont val="Calibri"/>
        <family val="2"/>
        <scheme val="minor"/>
      </rPr>
      <t>1</t>
    </r>
  </si>
  <si>
    <r>
      <t>Gila River - Cliff Gila</t>
    </r>
    <r>
      <rPr>
        <vertAlign val="superscript"/>
        <sz val="11"/>
        <color theme="1"/>
        <rFont val="Calibri"/>
        <family val="2"/>
        <scheme val="minor"/>
      </rPr>
      <t>1</t>
    </r>
  </si>
  <si>
    <r>
      <t>Gila River - Redrock</t>
    </r>
    <r>
      <rPr>
        <vertAlign val="superscript"/>
        <sz val="11"/>
        <color theme="1"/>
        <rFont val="Calibri"/>
        <family val="2"/>
        <scheme val="minor"/>
      </rPr>
      <t>1</t>
    </r>
  </si>
  <si>
    <r>
      <t>Gila River - Upper Gila</t>
    </r>
    <r>
      <rPr>
        <vertAlign val="superscript"/>
        <sz val="11"/>
        <color theme="1"/>
        <rFont val="Calibri"/>
        <family val="2"/>
        <scheme val="minor"/>
      </rPr>
      <t>1</t>
    </r>
  </si>
  <si>
    <r>
      <t>Puerto de Luna</t>
    </r>
    <r>
      <rPr>
        <vertAlign val="superscript"/>
        <sz val="11"/>
        <color theme="1"/>
        <rFont val="Calibri"/>
        <family val="2"/>
        <scheme val="minor"/>
      </rPr>
      <t>1</t>
    </r>
  </si>
  <si>
    <r>
      <t>San Simon</t>
    </r>
    <r>
      <rPr>
        <vertAlign val="superscript"/>
        <sz val="11"/>
        <color theme="1"/>
        <rFont val="Calibri"/>
        <family val="2"/>
        <scheme val="minor"/>
      </rPr>
      <t>1</t>
    </r>
  </si>
  <si>
    <r>
      <t>Chaco River</t>
    </r>
    <r>
      <rPr>
        <vertAlign val="superscript"/>
        <sz val="11"/>
        <color theme="1"/>
        <rFont val="Calibri"/>
        <family val="2"/>
        <scheme val="minor"/>
      </rPr>
      <t>2</t>
    </r>
  </si>
  <si>
    <r>
      <t>La Plata River</t>
    </r>
    <r>
      <rPr>
        <vertAlign val="superscript"/>
        <sz val="11"/>
        <color theme="1"/>
        <rFont val="Calibri"/>
        <family val="2"/>
        <scheme val="minor"/>
      </rPr>
      <t>2</t>
    </r>
  </si>
  <si>
    <r>
      <t>NIIP</t>
    </r>
    <r>
      <rPr>
        <vertAlign val="superscript"/>
        <sz val="11"/>
        <color theme="1"/>
        <rFont val="Calibri"/>
        <family val="2"/>
        <scheme val="minor"/>
      </rPr>
      <t>1</t>
    </r>
  </si>
  <si>
    <t>2 = shortage supply factor applied.</t>
  </si>
  <si>
    <t>1 = some or all withdrawal amounts metered rather than calculated.</t>
  </si>
  <si>
    <t>ACW</t>
  </si>
  <si>
    <t>TDA</t>
  </si>
  <si>
    <t>TFA</t>
  </si>
  <si>
    <t>TSA</t>
  </si>
  <si>
    <t>TPW</t>
  </si>
  <si>
    <t>Table 9.  Acres irrigated by water source and by irrigation method, withdrawals by water source in acre-feet, in New Mexico counties, 2020.</t>
  </si>
  <si>
    <t>State</t>
  </si>
  <si>
    <t>Key:  ASWO = acres irrigated with surface water only; AGWO = acres irrigated with groundwater only; ACW = acres irrigated with combined surface water and groundwater; TDA = total drip irrigated acres; TFA = total flood irrigated acres; TSA = total sprinkler irrigated acres; TAI = total acres irrigated; TPWSW = total project withdrawal, surface water; TPWGW = total project withdrawal, groundwater; TPW = total project withdrawal.</t>
  </si>
  <si>
    <t>Key:  RVB = river basin; T = type of irrigation system, drip (D), flood (F), or sprinkler (S); CIR = consumptive irrigation requirement; ASWO = acres irrigated with surface water only; AGWO = acres irrigated with groundwater only; ASWC = surface water component of acres irrigated with combined water; AGWC = groundwater component of acres irrigated with combined water; TAI = total acres irrigated; EF = on-farm irrigation efficiency; TFWSW = total farm withdrawal, surface water; EC = off-farm conveyence efficiency; TPWSW = total project withdrawal, surface water; TPWGW = total project withdrawal, groundwater.</t>
  </si>
  <si>
    <t>Table 10.  Acres irrigated by water source and by irrigation method, withdrawals by water source in acre-feet, in New Mexico river basins, 2020.</t>
  </si>
  <si>
    <t>Key:  RVB = river basin; ASWO = acres irrigated with surface water only; AGWO = acres irrigated with groundwater only; ACW = acres irrigated with combined surface water and groundwater; TDA = total drip irrigated acres; TFA = total flood irrigated acres; TSA = total sprinkler irrigated acres; TAI = total acres irrigated; TPWSW = total project withdrawal, surface water; TPWGW = total project withdrawal, groundwater; TPW = total project withdrawal.</t>
  </si>
  <si>
    <t>Table 3.  Withdrawals by category as a percent of state totals in New Mexico, 2020.</t>
  </si>
  <si>
    <t>ABCWUA</t>
  </si>
  <si>
    <t>Bakers Mobile Home Park</t>
  </si>
  <si>
    <t>Barcelona Mobile Home Park</t>
  </si>
  <si>
    <t>Bearcat Homeowners Association</t>
  </si>
  <si>
    <t>Cedar Crest MDWC &amp; SWC</t>
  </si>
  <si>
    <t>Chamisa Mobile Home Park</t>
  </si>
  <si>
    <t>Chilili Water Users Assn</t>
  </si>
  <si>
    <t>Coronado Village Country Club</t>
  </si>
  <si>
    <t>Desert Palms Mobile Home Park</t>
  </si>
  <si>
    <t>Entranosa Water And Wastewater Coop_Bernalillo</t>
  </si>
  <si>
    <t>Forest Park Property Owners Coop</t>
  </si>
  <si>
    <t>Fox Hills Water Users Assoc</t>
  </si>
  <si>
    <t>Green Acres Mobile Home Village</t>
  </si>
  <si>
    <t>Green Ridge MDWCA, Inc.</t>
  </si>
  <si>
    <t>Hamilton Mobile Home Park</t>
  </si>
  <si>
    <t>Homestead Mobile Home Community</t>
  </si>
  <si>
    <t>Kirtland Air Force Base</t>
  </si>
  <si>
    <t>La Mesa Villa Mobile Home Park, LLC</t>
  </si>
  <si>
    <t>Leisure Mountain MHP</t>
  </si>
  <si>
    <t>Mountain View Mobile Home Park</t>
  </si>
  <si>
    <t>North Court Mobile Home Park</t>
  </si>
  <si>
    <t>Oakland Heights Homeowners Association</t>
  </si>
  <si>
    <t>Old Sandia Park Service Co-Op</t>
  </si>
  <si>
    <t>Paakweree Village Water Co-Op Assoc, Inc</t>
  </si>
  <si>
    <t>Quail Hollow MDWUA</t>
  </si>
  <si>
    <t>Sandia Knolls Water System</t>
  </si>
  <si>
    <t>Sandia Peak Utility</t>
  </si>
  <si>
    <t>Sierra Vista Mutual Domestic Association</t>
  </si>
  <si>
    <t>Sierra Vista South Water Coop</t>
  </si>
  <si>
    <t>South Hills Water Company</t>
  </si>
  <si>
    <t>Sunset Hills Estates HOA</t>
  </si>
  <si>
    <t>The Rincon Water Cooperative</t>
  </si>
  <si>
    <t>Tierra Monte Water Users Association</t>
  </si>
  <si>
    <t>Tierra West Estates MHP</t>
  </si>
  <si>
    <t>Tijeras (Village Of)</t>
  </si>
  <si>
    <t>Tijeras Water Cooperative</t>
  </si>
  <si>
    <t>Tranquillo Pines Water Users Coop</t>
  </si>
  <si>
    <t>Valle Grande Mobile Home Park</t>
  </si>
  <si>
    <t>Ventura Estates HOA</t>
  </si>
  <si>
    <t>Vista Bonita Water Coop</t>
  </si>
  <si>
    <t>Vista De Manana</t>
  </si>
  <si>
    <t>Western Terrace</t>
  </si>
  <si>
    <t>Aragon MDWCA</t>
  </si>
  <si>
    <t>Coyote Creek MDWUA</t>
  </si>
  <si>
    <t>Mogollon Community Water System</t>
  </si>
  <si>
    <t>Pie Town MDWCA</t>
  </si>
  <si>
    <t>Quemado Lake Water Association</t>
  </si>
  <si>
    <t>Quemado Mutual Water &amp; SWA</t>
  </si>
  <si>
    <t>Rancho Grande Water Association Inc</t>
  </si>
  <si>
    <t>Reserve Water Works</t>
  </si>
  <si>
    <t>Spring Canyon Ranch</t>
  </si>
  <si>
    <t>Homestead Landowners Association</t>
  </si>
  <si>
    <t>Mojave Academy</t>
  </si>
  <si>
    <t>Berrendo Cooperative WUA</t>
  </si>
  <si>
    <t>Cumberland Cooperative WUA</t>
  </si>
  <si>
    <t>Dexter Municipal Water System</t>
  </si>
  <si>
    <t>Fambrough MDWCA</t>
  </si>
  <si>
    <t>Greenfield MDWCA</t>
  </si>
  <si>
    <t>Hagerman Water System</t>
  </si>
  <si>
    <t>Lake Arthur Water Department</t>
  </si>
  <si>
    <t>Roswell Municipal Water System</t>
  </si>
  <si>
    <t>Bibo Mutual Domestic Water Assoc</t>
  </si>
  <si>
    <t>Bluewater Acres WUA</t>
  </si>
  <si>
    <t>Bluewater Water And Sanitation District</t>
  </si>
  <si>
    <t>Grants Domestic Water System</t>
  </si>
  <si>
    <t>Milan Community Water System</t>
  </si>
  <si>
    <t>Moquino Water System</t>
  </si>
  <si>
    <t>Plano Colorado Estates</t>
  </si>
  <si>
    <t>San Mateo MDWCA</t>
  </si>
  <si>
    <t>San Rafael Water &amp; Sanitation District</t>
  </si>
  <si>
    <t>Seboyeta Water System</t>
  </si>
  <si>
    <t>Angel Fire Services - Village Of Angel Fire</t>
  </si>
  <si>
    <t>Angel Nest Apartments</t>
  </si>
  <si>
    <t>Cimarron Water System</t>
  </si>
  <si>
    <t>City Of Raton/Raton Water Works</t>
  </si>
  <si>
    <t>Maxwell Cooperative Water Users Assoc</t>
  </si>
  <si>
    <t>Maxwell Water System</t>
  </si>
  <si>
    <t>Miami Water Users Association</t>
  </si>
  <si>
    <t>Springer Water System</t>
  </si>
  <si>
    <t>Val Verde 5 Property Owners Association</t>
  </si>
  <si>
    <t>Village Of Eagle Nest</t>
  </si>
  <si>
    <t>Grady Water System</t>
  </si>
  <si>
    <t>Cannon Air Force Base Water System</t>
  </si>
  <si>
    <t>Clovis West LLC</t>
  </si>
  <si>
    <t>Desert Ranch MDWCA</t>
  </si>
  <si>
    <t>Desert Village RV &amp; Mobile Home Park</t>
  </si>
  <si>
    <t>Epcor Water New Mexico Inc Clovis_Curry</t>
  </si>
  <si>
    <t>Longhorn Estates Water System</t>
  </si>
  <si>
    <t>Melrose Water System</t>
  </si>
  <si>
    <t>Texico Water System</t>
  </si>
  <si>
    <t>Turquoise Estates Water Coop</t>
  </si>
  <si>
    <t>Fort Sumner Municipal Water System</t>
  </si>
  <si>
    <t>Valley MDWCA</t>
  </si>
  <si>
    <t>Alameda Acres MHP</t>
  </si>
  <si>
    <t>Alto de las Flores MDWCA</t>
  </si>
  <si>
    <t>Anthony W&amp;SD</t>
  </si>
  <si>
    <t>Camino Real Regional Utility Authority</t>
  </si>
  <si>
    <t>CBG Water Company</t>
  </si>
  <si>
    <t>Chamberino MDW&amp;SA</t>
  </si>
  <si>
    <t>Country Mobile Manor</t>
  </si>
  <si>
    <t>Covered Wagon Mobile Home Manor</t>
  </si>
  <si>
    <t>De La Te Mobile Manor</t>
  </si>
  <si>
    <t>Desert Aire MDW and SWA</t>
  </si>
  <si>
    <t>Dona Ana MDWCA</t>
  </si>
  <si>
    <t>Dove Canyon LLC</t>
  </si>
  <si>
    <t>El Patio MHP #2</t>
  </si>
  <si>
    <t>Erica's Mobile Home Park</t>
  </si>
  <si>
    <t>Garfield MDWCA_Dona Ana</t>
  </si>
  <si>
    <t>Hatch Water Supply System</t>
  </si>
  <si>
    <t>Holly Garden MHP</t>
  </si>
  <si>
    <t>La Union MW&amp;SA</t>
  </si>
  <si>
    <t>Lake Section Water Company_Dona Ana</t>
  </si>
  <si>
    <t>Las Cruces Mobile Home Park</t>
  </si>
  <si>
    <t>Las Cruces Municipal Water System</t>
  </si>
  <si>
    <t>Leasburg MDWCA</t>
  </si>
  <si>
    <t>Lower Rio Grande Public WWA</t>
  </si>
  <si>
    <t>Madrid MHP</t>
  </si>
  <si>
    <t>Mesilla Water System</t>
  </si>
  <si>
    <t>Moongate Water System</t>
  </si>
  <si>
    <t>Organ View Estates</t>
  </si>
  <si>
    <t>Picacho MDWCA</t>
  </si>
  <si>
    <t>Rancho Vista MHP</t>
  </si>
  <si>
    <t>Rincon Water Consumers Co-Op</t>
  </si>
  <si>
    <t>Silver Spur Mobile Home Courts</t>
  </si>
  <si>
    <t>Sontera Acres Mobile Manor</t>
  </si>
  <si>
    <t>St Johns MHP</t>
  </si>
  <si>
    <t>Summer Wind Mobile Home Park</t>
  </si>
  <si>
    <t>Talavera MDWCA</t>
  </si>
  <si>
    <t>Teresa Moreno Water System</t>
  </si>
  <si>
    <t>Valverde Mobile Home Park</t>
  </si>
  <si>
    <t>Villa Del Sol Mobile Home Park</t>
  </si>
  <si>
    <t>Vista del Rey Estates MDWCA</t>
  </si>
  <si>
    <t>Vista Real MHP</t>
  </si>
  <si>
    <t>White Sands Missile Range (Main Post)-Ff</t>
  </si>
  <si>
    <t>Winterhaven MDWC and SWA</t>
  </si>
  <si>
    <t>Artesia Municipal Water System</t>
  </si>
  <si>
    <t>Artesia Rural Water Cooperative</t>
  </si>
  <si>
    <t>Caprock Water Company</t>
  </si>
  <si>
    <t>Carlsbad Municipal Water System</t>
  </si>
  <si>
    <t>Cottonwood Water MDWCA</t>
  </si>
  <si>
    <t>Happy Valley Cooperative Water Works</t>
  </si>
  <si>
    <t>Hope Water System</t>
  </si>
  <si>
    <t>Jewel Street Water Co-Op</t>
  </si>
  <si>
    <t>Loving Water System</t>
  </si>
  <si>
    <t>Malaga MDWC SWA</t>
  </si>
  <si>
    <t>Morningside Water Users Cooperative</t>
  </si>
  <si>
    <t>North Park MDWCA</t>
  </si>
  <si>
    <t>Otis MDWCA</t>
  </si>
  <si>
    <t>Riverside MDWA</t>
  </si>
  <si>
    <t>Whites City Water System</t>
  </si>
  <si>
    <t>Burro Mountain Homestead</t>
  </si>
  <si>
    <t>Heights Water Users Association</t>
  </si>
  <si>
    <t>Lake Roberts Water Users Association</t>
  </si>
  <si>
    <t>Trout Mountain Assoc Inc</t>
  </si>
  <si>
    <t>Arenas Valley MDWCA</t>
  </si>
  <si>
    <t>Bayard Municipal Water System</t>
  </si>
  <si>
    <t>Billings Trailer Park</t>
  </si>
  <si>
    <t>Casas Adobes MDWCA</t>
  </si>
  <si>
    <t>Hachita MDWCA</t>
  </si>
  <si>
    <t>Hanover MDWCA</t>
  </si>
  <si>
    <t>North Hurley MDWCA</t>
  </si>
  <si>
    <t>Pinos Altos MDWCA_Lower Colorado</t>
  </si>
  <si>
    <t>Pinos Altos MDWCA_Rio Grande</t>
  </si>
  <si>
    <t>Rio de Arenas, LLC</t>
  </si>
  <si>
    <t>Rosedale MDWCA</t>
  </si>
  <si>
    <t>Santa Clara Water System</t>
  </si>
  <si>
    <t>Silver City Water System</t>
  </si>
  <si>
    <t>Town Of Hurley</t>
  </si>
  <si>
    <t>Tyrone MDWCA</t>
  </si>
  <si>
    <t>Tyrone Townsite</t>
  </si>
  <si>
    <t>Whiskey Creek Properties, LLC</t>
  </si>
  <si>
    <t>Puerto de Luna MDWCA</t>
  </si>
  <si>
    <t>Riveras MDWUA</t>
  </si>
  <si>
    <t>Sangre de Cristo Regional MDWCA</t>
  </si>
  <si>
    <t>Santa Rosa Water Supply</t>
  </si>
  <si>
    <t>Vaughn Duran Water System</t>
  </si>
  <si>
    <t>Mosquero Water System</t>
  </si>
  <si>
    <t>Roy (Village Of)</t>
  </si>
  <si>
    <t>Lordsburg Water Supply System</t>
  </si>
  <si>
    <t>Rodeo MDW &amp; MSWA</t>
  </si>
  <si>
    <t>Virden Water System</t>
  </si>
  <si>
    <t>New Mexico Tech, Playas Facility</t>
  </si>
  <si>
    <t>Eunice Water Supply System</t>
  </si>
  <si>
    <t>Jal Water Supply System</t>
  </si>
  <si>
    <t>Mescalero Ridge Water Co-Op</t>
  </si>
  <si>
    <t>Monument MDWCA</t>
  </si>
  <si>
    <t>Hobbs Municipal Water Supply</t>
  </si>
  <si>
    <t>Lovington Municipal Water Supply</t>
  </si>
  <si>
    <t>Rancho Dal Paso LLC DBA Adobe Village</t>
  </si>
  <si>
    <t>Tatum Municipal Water System</t>
  </si>
  <si>
    <t>Triple J MHP</t>
  </si>
  <si>
    <t>Alpine Village W&amp;SD</t>
  </si>
  <si>
    <t>Alto Lakes Water And Sanitation District</t>
  </si>
  <si>
    <t>Alto Mountain Village</t>
  </si>
  <si>
    <t>Alto North Water Coop</t>
  </si>
  <si>
    <t>Apple Blossom and White Angel Mesa WUA</t>
  </si>
  <si>
    <t>Capitan Water System</t>
  </si>
  <si>
    <t>CDS Rainmakers Utility LLC Rancho Ruidoso</t>
  </si>
  <si>
    <t>Cedar Creek Cabin Owners Association</t>
  </si>
  <si>
    <t>Copper Canyon Subdivision</t>
  </si>
  <si>
    <t>Corona Water System</t>
  </si>
  <si>
    <t>Enchanted Forest Water Corporation</t>
  </si>
  <si>
    <t>Fawn Ridge Property Owners Association</t>
  </si>
  <si>
    <t>Fort Stanton Facility</t>
  </si>
  <si>
    <t>High Sierra Estates Water Assn</t>
  </si>
  <si>
    <t>Lincoln Hills Water Co-Op</t>
  </si>
  <si>
    <t>Lincoln MDWCA</t>
  </si>
  <si>
    <t>Loma Grande Estates Water Association</t>
  </si>
  <si>
    <t>Ruidoso Downs Water System</t>
  </si>
  <si>
    <t>Ruidoso Water System</t>
  </si>
  <si>
    <t>Safe Haven RV Park</t>
  </si>
  <si>
    <t>Sun Valley Water And Sanitation District</t>
  </si>
  <si>
    <t>Tall Pines Water Association</t>
  </si>
  <si>
    <t>The Riverbend</t>
  </si>
  <si>
    <t>Carrizozo Water System</t>
  </si>
  <si>
    <t>Nogal MDWCA</t>
  </si>
  <si>
    <t>Los Alamos Municipal Water System</t>
  </si>
  <si>
    <t>Columbus Water System</t>
  </si>
  <si>
    <t>Deming Municipal Water System</t>
  </si>
  <si>
    <t>Gunter Mobile Home Park</t>
  </si>
  <si>
    <t>Hidden Valley Ranch</t>
  </si>
  <si>
    <t>Pecan Park MDWCA</t>
  </si>
  <si>
    <t>Peoples Water Coop</t>
  </si>
  <si>
    <t>Pueblo De Luna Water System</t>
  </si>
  <si>
    <t>Block A Well Co-Op</t>
  </si>
  <si>
    <t>Cedar Ridge Trailer Park</t>
  </si>
  <si>
    <t>Coal Basin DWUA</t>
  </si>
  <si>
    <t>D &amp; S Trailer Ranch</t>
  </si>
  <si>
    <t>Gallup Water System</t>
  </si>
  <si>
    <t>Ramah Water &amp; Sanitation District</t>
  </si>
  <si>
    <t>Rob Roy Trailer Park</t>
  </si>
  <si>
    <t>Sagebrush Water Co-Op</t>
  </si>
  <si>
    <t>St Williams Mobile Home Park</t>
  </si>
  <si>
    <t>Whispering Cedars Water Association</t>
  </si>
  <si>
    <t>White Cliffs MDWUA</t>
  </si>
  <si>
    <t>Yah Ta Hey W&amp;SD</t>
  </si>
  <si>
    <t>Bluewater Lake MDWCA</t>
  </si>
  <si>
    <t>Thoreau Water &amp; Sanitation District</t>
  </si>
  <si>
    <t>Top Of The World Water Association Corp</t>
  </si>
  <si>
    <t>Agua Negra MDWCA</t>
  </si>
  <si>
    <t>Agua Pura MDWCA</t>
  </si>
  <si>
    <t>Buena Vista MDWCA</t>
  </si>
  <si>
    <t>Cleveland MDWCA</t>
  </si>
  <si>
    <t>Guadalupita MDWCA</t>
  </si>
  <si>
    <t>Ledoux MDWCA</t>
  </si>
  <si>
    <t>Mora MDWCA</t>
  </si>
  <si>
    <t>North Cleveland MDWCA</t>
  </si>
  <si>
    <t>Ojo Feliz MDWCA</t>
  </si>
  <si>
    <t>Rainsville Water &amp; Sanitation District</t>
  </si>
  <si>
    <t>San Antonio de Cleveland MDWCA</t>
  </si>
  <si>
    <t>South Holman MDWCA</t>
  </si>
  <si>
    <t>Upper Holman MDWCA</t>
  </si>
  <si>
    <t>Wagon Mound Water System</t>
  </si>
  <si>
    <t>Watrous MDWCA</t>
  </si>
  <si>
    <t>Chippeway Park Water Association</t>
  </si>
  <si>
    <t>Cloud Country Estates WUA</t>
  </si>
  <si>
    <t>Cloud Country West Water System</t>
  </si>
  <si>
    <t>Cloudcroft Water System_Pecos</t>
  </si>
  <si>
    <t>Mayhill Water Supply Company</t>
  </si>
  <si>
    <t>Pete Ragan Memorial WUA</t>
  </si>
  <si>
    <t>Ponderosa Pines Property Owners Association</t>
  </si>
  <si>
    <t>Robinhood Water Users Association</t>
  </si>
  <si>
    <t>Silver Cloud Water Association</t>
  </si>
  <si>
    <t>Silver Springs Water System</t>
  </si>
  <si>
    <t>Sixteen Springs Mnt Estates</t>
  </si>
  <si>
    <t>Sky Country Estates MDWCA</t>
  </si>
  <si>
    <t>Twin Forks MDWCA</t>
  </si>
  <si>
    <t>Waterfall Community WUA</t>
  </si>
  <si>
    <t>Weed Water Users Association</t>
  </si>
  <si>
    <t>Alamo Heights WUA</t>
  </si>
  <si>
    <t>Alamogordo Domestic Water System</t>
  </si>
  <si>
    <t>Boles Acres Water System</t>
  </si>
  <si>
    <t>Canyon Hills Area WUA</t>
  </si>
  <si>
    <t>Cider Mill Farms MDWCA</t>
  </si>
  <si>
    <t>Cloudcroft Water System_Rio Grande</t>
  </si>
  <si>
    <t>Dog Canyon MDWCA</t>
  </si>
  <si>
    <t>Dungan MDWCA</t>
  </si>
  <si>
    <t>Eileen Acres</t>
  </si>
  <si>
    <t>Enchanted Valley WUA</t>
  </si>
  <si>
    <t>Freemans Mobile Home Park</t>
  </si>
  <si>
    <t>High Rolls Community Water Users Coop</t>
  </si>
  <si>
    <t>Holloman Air Force Base</t>
  </si>
  <si>
    <t>Juniper Mobile Park</t>
  </si>
  <si>
    <t>Karr Canyon Estates</t>
  </si>
  <si>
    <t>La Luz MDWCA</t>
  </si>
  <si>
    <t>Laborcita Water Users Association</t>
  </si>
  <si>
    <t>Lake Section Water Company_Otero</t>
  </si>
  <si>
    <t>Low Mesa WUA</t>
  </si>
  <si>
    <t>Mountain Orchard MDWCA</t>
  </si>
  <si>
    <t>National Solar Observatory</t>
  </si>
  <si>
    <t>Orogrande MDWCA</t>
  </si>
  <si>
    <t>Piney Woods Water Users Association</t>
  </si>
  <si>
    <t>Pinon MDWCA</t>
  </si>
  <si>
    <t>Rolling Hills WUA</t>
  </si>
  <si>
    <t>Timberon W and SD</t>
  </si>
  <si>
    <t>Tularosa Water System</t>
  </si>
  <si>
    <t>Hills Village Water System</t>
  </si>
  <si>
    <t>Liberty MDWCA</t>
  </si>
  <si>
    <t>Logan Water System</t>
  </si>
  <si>
    <t>Nara Visa MDWCA</t>
  </si>
  <si>
    <t>Rad Water Users Coop</t>
  </si>
  <si>
    <t>San Jon Water Supply</t>
  </si>
  <si>
    <t>Tucumcari Water System</t>
  </si>
  <si>
    <t>House Water System</t>
  </si>
  <si>
    <t>Abiquiu MDWCA</t>
  </si>
  <si>
    <t>Agua Sana WUA</t>
  </si>
  <si>
    <t>Alcalde MDWCA</t>
  </si>
  <si>
    <t>Ancones MDWCA</t>
  </si>
  <si>
    <t>Apodaca MDWCA</t>
  </si>
  <si>
    <t>Archuleta Mobile Home Park</t>
  </si>
  <si>
    <t>Arroyo Del Agua MDWCA</t>
  </si>
  <si>
    <t>Barranco MDWCA</t>
  </si>
  <si>
    <t>Brazos MDWCA</t>
  </si>
  <si>
    <t>Canjilon Water System</t>
  </si>
  <si>
    <t>Canon Plaza MDWCA</t>
  </si>
  <si>
    <t>Canones MDWCA</t>
  </si>
  <si>
    <t>Capulin MDWCA</t>
  </si>
  <si>
    <t>Cebolla MDWCA</t>
  </si>
  <si>
    <t>Chama Water System</t>
  </si>
  <si>
    <t>Chama West Water Users Association</t>
  </si>
  <si>
    <t>Chamita MDWCA</t>
  </si>
  <si>
    <t>Christ In The Desert Monastery</t>
  </si>
  <si>
    <t>Cordova MDWCA</t>
  </si>
  <si>
    <t>Coyote MDWCA</t>
  </si>
  <si>
    <t>Cuatro Villas MDWCA_Rio Arriba</t>
  </si>
  <si>
    <t>Dixon MDWCA</t>
  </si>
  <si>
    <t>Duranes Y Gavilan MDWCA</t>
  </si>
  <si>
    <t>El Rito Regional Water &amp; Wastewater Asn</t>
  </si>
  <si>
    <t>Enchanted Mesa Mobile Home Park</t>
  </si>
  <si>
    <t>Ensenada MDWCA</t>
  </si>
  <si>
    <t>Espanola Water System_Rio Arriba</t>
  </si>
  <si>
    <t>Gallina Water System</t>
  </si>
  <si>
    <t>Greater Chimayo MDWCA_Rio Arriba</t>
  </si>
  <si>
    <t>La Asociacion De Agua De Los Brazos</t>
  </si>
  <si>
    <t>La Jara Water Users Association</t>
  </si>
  <si>
    <t>La Madera MDWCA</t>
  </si>
  <si>
    <t>Los Ojos MDWCA</t>
  </si>
  <si>
    <t>Ojo Caliente MDWCA_Rio Arriba</t>
  </si>
  <si>
    <t>Ojo Sarco MDWCA</t>
  </si>
  <si>
    <t>Rio Embudo MDWCA</t>
  </si>
  <si>
    <t>Rutheron Mutual Water Association</t>
  </si>
  <si>
    <t>Tierra Amarilla MDWCA</t>
  </si>
  <si>
    <t>Tres Piedras MDWCA_Rio Arriba</t>
  </si>
  <si>
    <t>Truchas MDWCA</t>
  </si>
  <si>
    <t>Vallecitos MDWCA</t>
  </si>
  <si>
    <t>Valley Estates Water &amp; Sewer Association</t>
  </si>
  <si>
    <t>Velarde MDWCA</t>
  </si>
  <si>
    <t>Youngsville MDWCA</t>
  </si>
  <si>
    <t>Lindrith Community Water Coop Inc</t>
  </si>
  <si>
    <t>Lumberton MDWCA</t>
  </si>
  <si>
    <t>Lybrook MDWCA</t>
  </si>
  <si>
    <t>Causey Water System</t>
  </si>
  <si>
    <t>Dora Water System</t>
  </si>
  <si>
    <t>Elida Water System</t>
  </si>
  <si>
    <t>Epcor Water New Mexico Inc Clovis_Roosevelt</t>
  </si>
  <si>
    <t>Floyd WS Village Of</t>
  </si>
  <si>
    <t>Portales Water System</t>
  </si>
  <si>
    <t>Roosevelt County WUA</t>
  </si>
  <si>
    <t>Algodones WUA</t>
  </si>
  <si>
    <t>Anasazi Trails Water Co-Op</t>
  </si>
  <si>
    <t>Bernalillo Water System</t>
  </si>
  <si>
    <t>Canon MDWCA</t>
  </si>
  <si>
    <t>Cedar Creek Water Cooperative Inc</t>
  </si>
  <si>
    <t>Cuba Water System</t>
  </si>
  <si>
    <t>Desert Sky Mountain Water Cooperative</t>
  </si>
  <si>
    <t>Hofheins/Marcel Thomas Assoc Coop Inc</t>
  </si>
  <si>
    <t>Homesteads North</t>
  </si>
  <si>
    <t>Horseshoe Springs Association</t>
  </si>
  <si>
    <t>Jemez Springs DWUA</t>
  </si>
  <si>
    <t>La Mesa Water Coop</t>
  </si>
  <si>
    <t>La Puerta HOA</t>
  </si>
  <si>
    <t>Las Acequias De Placitas</t>
  </si>
  <si>
    <t>North Ranchos De Placitas W&amp;SD</t>
  </si>
  <si>
    <t>Orchard Estates FL MDWC&amp;SW</t>
  </si>
  <si>
    <t>Overlook Water Co-Op Inc</t>
  </si>
  <si>
    <t>Pena Blanca Water &amp; Sanitation District</t>
  </si>
  <si>
    <t>Placitas Trails Water Coop</t>
  </si>
  <si>
    <t>Placitas West Water Co-Op</t>
  </si>
  <si>
    <t>Ponderosa MDWCA</t>
  </si>
  <si>
    <t>Pueblo Los Cerros</t>
  </si>
  <si>
    <t>Puesta Del Sol Community Water System</t>
  </si>
  <si>
    <t>Ranchos De Placitas Sanitation District</t>
  </si>
  <si>
    <t>Regina MDWCA</t>
  </si>
  <si>
    <t>Rio Rancho Water &amp; WW Services_Sandoval</t>
  </si>
  <si>
    <t>San Luis Cabezon MDWCA</t>
  </si>
  <si>
    <t>San Ysidro Water Supply System</t>
  </si>
  <si>
    <t>Sierra Los Pinos HOA</t>
  </si>
  <si>
    <t>Sile MDWCA</t>
  </si>
  <si>
    <t>Vista De Oro De Placitas Water Users Coop</t>
  </si>
  <si>
    <t>Apple Orchard MDWCA</t>
  </si>
  <si>
    <t>Aztec Domestic Water System</t>
  </si>
  <si>
    <t>Blanco MDWCA</t>
  </si>
  <si>
    <t>Bloomfield Water Supply System</t>
  </si>
  <si>
    <t>Farmington Water System</t>
  </si>
  <si>
    <t>Flora Vista Mutual Domestic</t>
  </si>
  <si>
    <t>La Vida Mission Community Water Supply</t>
  </si>
  <si>
    <t>Lee Acres Water Users Association</t>
  </si>
  <si>
    <t>Lower Valley Water Users Association</t>
  </si>
  <si>
    <t>Navajo Dam Domestic Water Consumers Inc</t>
  </si>
  <si>
    <t>Northstar MDWCA</t>
  </si>
  <si>
    <t>Pine River MDCA</t>
  </si>
  <si>
    <t>Rosa Joint Ventures Water System</t>
  </si>
  <si>
    <t>Shiprock-NTUA</t>
  </si>
  <si>
    <t>Southside Mutual Domestic Water</t>
  </si>
  <si>
    <t>Upper La Plata Water Users Association</t>
  </si>
  <si>
    <t>West Hammond MDWCA</t>
  </si>
  <si>
    <t>Big Mesa Water MDWCA</t>
  </si>
  <si>
    <t>Pendaries MDWCA</t>
  </si>
  <si>
    <t>Benedictine Monastery</t>
  </si>
  <si>
    <t>Campo Azul Mobile Home Park</t>
  </si>
  <si>
    <t>Chapelle MDWCA</t>
  </si>
  <si>
    <t>East Pecos MDWCA</t>
  </si>
  <si>
    <t>El Ancon MDWCA</t>
  </si>
  <si>
    <t>El Cerrito MDWCA</t>
  </si>
  <si>
    <t>El Coruco MDWCA</t>
  </si>
  <si>
    <t>El Creston MDWCA</t>
  </si>
  <si>
    <t>Gabaldon MDWCA</t>
  </si>
  <si>
    <t>Gonzales Ranch MDWCA</t>
  </si>
  <si>
    <t>Ilfeld MDWCA</t>
  </si>
  <si>
    <t>La Cueva MDWCA</t>
  </si>
  <si>
    <t>La Pasada MDWCA</t>
  </si>
  <si>
    <t>Las Vegas (City Of)</t>
  </si>
  <si>
    <t>Lower Colonias MDWCA</t>
  </si>
  <si>
    <t>North San Ysidro MDWCA</t>
  </si>
  <si>
    <t>Pecos Water System</t>
  </si>
  <si>
    <t>Ribera MDWCA</t>
  </si>
  <si>
    <t>Rowe MDWCA</t>
  </si>
  <si>
    <t>San Jose MDWCA</t>
  </si>
  <si>
    <t>San Juan MDWCA</t>
  </si>
  <si>
    <t>San Miguel Del Bado MDWCA</t>
  </si>
  <si>
    <t>Sena MDWCA</t>
  </si>
  <si>
    <t>South San Ysidro MDWCA</t>
  </si>
  <si>
    <t>Tecolote MDWCA</t>
  </si>
  <si>
    <t>Tecolotito MDWCA</t>
  </si>
  <si>
    <t>Tres Lagunas Home Owners Association</t>
  </si>
  <si>
    <t>Villanueva MDWCA</t>
  </si>
  <si>
    <t>Glorieta Camps</t>
  </si>
  <si>
    <t>Greater Glorieta Regional MDC</t>
  </si>
  <si>
    <t>Agua Fria Water Association</t>
  </si>
  <si>
    <t>Asi La Mar Trailer Park</t>
  </si>
  <si>
    <t>Canada De Los Alamos MDWCA</t>
  </si>
  <si>
    <t>Canoncito At Apache Canyon</t>
  </si>
  <si>
    <t>Chupadero MDWCA</t>
  </si>
  <si>
    <t>Cielo Lindo</t>
  </si>
  <si>
    <t>City Of Santa Fe Water System</t>
  </si>
  <si>
    <t>Country Club Gardens Mobile Home Park</t>
  </si>
  <si>
    <t>Cuatro Villas MDWCA_Santa Fe</t>
  </si>
  <si>
    <t>Cundiyo MDWCA</t>
  </si>
  <si>
    <t>El Rancho Mobile Home Park Santa Fe</t>
  </si>
  <si>
    <t>El Vadito De Los Cerrillos Water Association</t>
  </si>
  <si>
    <t>Eldorado Area Water And Sanitation District</t>
  </si>
  <si>
    <t>Entranosa Water And Wastewater Coop_Santa Fe</t>
  </si>
  <si>
    <t>Epcor Water New Mexico Inc., Edgewood_Santa Fe</t>
  </si>
  <si>
    <t>Espanola Water System_Santa Fe</t>
  </si>
  <si>
    <t>Galisteo MDWCA</t>
  </si>
  <si>
    <t>Grant Mobile Home Park</t>
  </si>
  <si>
    <t>Greater Chimayo MDWCA_Santa Fe</t>
  </si>
  <si>
    <t>Hyde Park Estates Water Users Association</t>
  </si>
  <si>
    <t>Juniper Hills MHP</t>
  </si>
  <si>
    <t>Juniper Hills Ranch</t>
  </si>
  <si>
    <t>La Bajada MDWCA</t>
  </si>
  <si>
    <t>La Cienega MDWCA</t>
  </si>
  <si>
    <t>La Vista Homeowners Association</t>
  </si>
  <si>
    <t>Lamy Mutual Domestic Water Association</t>
  </si>
  <si>
    <t>Las Campanas Water System</t>
  </si>
  <si>
    <t>Lone Star Trailer Ranch</t>
  </si>
  <si>
    <t>Madrid Water Co-Op</t>
  </si>
  <si>
    <t>Pojoaque Terraces MHP</t>
  </si>
  <si>
    <t>Ranchitos De Galisteo WUA</t>
  </si>
  <si>
    <t>Rio Chiquito MDWCA</t>
  </si>
  <si>
    <t>Rio En Medio MDWCA</t>
  </si>
  <si>
    <t>Santa Cruz Water Association</t>
  </si>
  <si>
    <t>Santa Fe County Utilities</t>
  </si>
  <si>
    <t>Santa Fe West MHP</t>
  </si>
  <si>
    <t>Shalom Mobile Home Park</t>
  </si>
  <si>
    <t>Solacito MDWCA</t>
  </si>
  <si>
    <t>South Santa Fe Water Coop</t>
  </si>
  <si>
    <t>Sunlit Hills Water System</t>
  </si>
  <si>
    <t>Tesuque MDWCA</t>
  </si>
  <si>
    <t>Village Mobile Home Park</t>
  </si>
  <si>
    <t>Vista Redonda MDWCA</t>
  </si>
  <si>
    <t>Wild And Wooley Trailer Ranch</t>
  </si>
  <si>
    <t>Caballo Lake MDWA</t>
  </si>
  <si>
    <t>City Of Elephant Butte</t>
  </si>
  <si>
    <t>Desertaire Water Company</t>
  </si>
  <si>
    <t>Elephant Butte Water System</t>
  </si>
  <si>
    <t>Garfield MDWCA_Sierra</t>
  </si>
  <si>
    <t>Hillsboro MDWCA</t>
  </si>
  <si>
    <t>Monticello Canyon DWCA</t>
  </si>
  <si>
    <t>Monticello Community Water System</t>
  </si>
  <si>
    <t>Rosa Del Rio Mobile Home And RV Park</t>
  </si>
  <si>
    <t>Truth Or Consequences</t>
  </si>
  <si>
    <t>La Joya MDWCA</t>
  </si>
  <si>
    <t>Magdalena Village Of</t>
  </si>
  <si>
    <t>New Mexico Boys And Girls Ranch</t>
  </si>
  <si>
    <t>Polvadera MDWCA</t>
  </si>
  <si>
    <t>San Acacia MDWCA</t>
  </si>
  <si>
    <t>San Antonio MDWCA</t>
  </si>
  <si>
    <t>Socorro Water System</t>
  </si>
  <si>
    <t>Arroyo Seco MDWCA</t>
  </si>
  <si>
    <t>Bmg Trailer Park</t>
  </si>
  <si>
    <t>Cerro MDWC&amp;SW</t>
  </si>
  <si>
    <t>Chamisal MDWCA</t>
  </si>
  <si>
    <t>Costilla MDWCA</t>
  </si>
  <si>
    <t>Eagle Rock Village</t>
  </si>
  <si>
    <t>El Prado Water &amp; Sanitation District</t>
  </si>
  <si>
    <t>El Rancho MHP Taos</t>
  </si>
  <si>
    <t>El Salto MDWCA and SA</t>
  </si>
  <si>
    <t>El Valle De Los Ranchos W &amp; SD</t>
  </si>
  <si>
    <t>Enchanted Mobile Home Park</t>
  </si>
  <si>
    <t>La Lama MDWCA</t>
  </si>
  <si>
    <t>La Lomita Trailer Park</t>
  </si>
  <si>
    <t>Las Colonias MHP</t>
  </si>
  <si>
    <t>Las Haciendas Homeowners WUA</t>
  </si>
  <si>
    <t>Llano Quemado MDWCA</t>
  </si>
  <si>
    <t>Lower Arroyo Hondo MDWCA</t>
  </si>
  <si>
    <t>Lower Des Montes MDWCA</t>
  </si>
  <si>
    <t>Ojo Caliente MDWCA_Taos</t>
  </si>
  <si>
    <t>Penasco MDWCA</t>
  </si>
  <si>
    <t>Questa Water System</t>
  </si>
  <si>
    <t>Ranchos De Taos MDWCA</t>
  </si>
  <si>
    <t>Red River Water System</t>
  </si>
  <si>
    <t>Rio Lucio MDWCA</t>
  </si>
  <si>
    <t>Rodarte MDWCA</t>
  </si>
  <si>
    <t>San Cristobal MDWCA</t>
  </si>
  <si>
    <t>Sanchez Mobile Home Park</t>
  </si>
  <si>
    <t>Talpa MDWCA</t>
  </si>
  <si>
    <t>Taos Municipal Water System</t>
  </si>
  <si>
    <t>Trampas MDWCA</t>
  </si>
  <si>
    <t>Tres Piedras MDWCA_Taos</t>
  </si>
  <si>
    <t>Union Del Llano</t>
  </si>
  <si>
    <t>Upper Arroyo Hondo MDWCA</t>
  </si>
  <si>
    <t>Upper Des Montes MDWCA</t>
  </si>
  <si>
    <t>Upper Ojito MDWCA</t>
  </si>
  <si>
    <t>Upper Ranchitos MDWCASW</t>
  </si>
  <si>
    <t>Vadito MDWCA</t>
  </si>
  <si>
    <t>Valdez MDWCA</t>
  </si>
  <si>
    <t>Valle Escondido Homeowners Association</t>
  </si>
  <si>
    <t>Vigils Trailer Park</t>
  </si>
  <si>
    <t>Village Of Taos Ski Valley</t>
  </si>
  <si>
    <t>West Rim MDWUA</t>
  </si>
  <si>
    <t>Clines Corners Water System_Pecos</t>
  </si>
  <si>
    <t>Carlos Lucero Subdivision</t>
  </si>
  <si>
    <t>Cassandra Water System</t>
  </si>
  <si>
    <t>Echo Valley Water Company</t>
  </si>
  <si>
    <t>Edgewood Meadows Water Corp.</t>
  </si>
  <si>
    <t>Encino Water System</t>
  </si>
  <si>
    <t>Epcor Water New Mexico Inc., Edgewood_Torrance</t>
  </si>
  <si>
    <t>Estancia Water System</t>
  </si>
  <si>
    <t>Homestead Water Company</t>
  </si>
  <si>
    <t>Indian Hills Water Company</t>
  </si>
  <si>
    <t>Manzano MDWCA</t>
  </si>
  <si>
    <t>Melody Ranch Water Co</t>
  </si>
  <si>
    <t>Moriarty Water System</t>
  </si>
  <si>
    <t>Mountainair Water System</t>
  </si>
  <si>
    <t>Punta De Agua MDWCA</t>
  </si>
  <si>
    <t>Sunset Acres Water Company</t>
  </si>
  <si>
    <t>Tajique MDWCA</t>
  </si>
  <si>
    <t>Torreon MDWCA</t>
  </si>
  <si>
    <t>Willard Village Of</t>
  </si>
  <si>
    <t>Clayton Municipal Supply</t>
  </si>
  <si>
    <t>Des Moines Water System</t>
  </si>
  <si>
    <t>Grenville Water System</t>
  </si>
  <si>
    <t>Belen Water System</t>
  </si>
  <si>
    <t>Bosque Farms Water Supply System</t>
  </si>
  <si>
    <t>Bosque Gardens MDWCA</t>
  </si>
  <si>
    <t>Correo Water Association</t>
  </si>
  <si>
    <t>Cypress Gardens Water Users Association</t>
  </si>
  <si>
    <t>D &amp; J Mobile Home Park</t>
  </si>
  <si>
    <t>El Shaddai Water Co Op</t>
  </si>
  <si>
    <t>Hi Mesa Estates Water Coop</t>
  </si>
  <si>
    <t>Highland Meadows Estates MDWCA</t>
  </si>
  <si>
    <t>JC Mobile Home Park F</t>
  </si>
  <si>
    <t>Loma Escondida Water Association</t>
  </si>
  <si>
    <t>Los Lunas Water System</t>
  </si>
  <si>
    <t>Meadow Lake Water System</t>
  </si>
  <si>
    <t>Mesa Estates Community Water Association</t>
  </si>
  <si>
    <t>Monterey Water Company Inc.</t>
  </si>
  <si>
    <t>Mountain View MHP</t>
  </si>
  <si>
    <t>Rio Del Oro Water System</t>
  </si>
  <si>
    <t>Santa Socorro Trailer Park</t>
  </si>
  <si>
    <t>Trails End MHP</t>
  </si>
  <si>
    <t>Trinity Mobile Home Park</t>
  </si>
  <si>
    <t>Toms Mobile Home Park (aka Shirk MHP)</t>
  </si>
  <si>
    <t>Animas Valley Land &amp; Water (aka Morningstar WUA)</t>
  </si>
  <si>
    <t>Trailer Ranch Senior Mobile Home Community</t>
  </si>
  <si>
    <t>Y</t>
  </si>
  <si>
    <t>y</t>
  </si>
  <si>
    <t>Key:  CN = county number; RVB = river basin; POP = population; GPCD = gallons per capita per day; WEC = water exchange code; WWC = water withdrawal code; MSW = measured surface water (Y = yes); MGW = measured groundwater (Y = yes); WSW = withdrawal surface water; WGW = withdrawal groundwater.</t>
  </si>
  <si>
    <t>Table 8.  Irrigated Agriculture in New Mexico counties, 2020. CIR in feet and withdrawals in acre-feet.</t>
  </si>
  <si>
    <t>Non-Dairy Cattle</t>
  </si>
  <si>
    <t>Dairy Cattle</t>
  </si>
  <si>
    <t>Horses</t>
  </si>
  <si>
    <t>Sheep/Lambs</t>
  </si>
  <si>
    <t>Hogs/Pigs</t>
  </si>
  <si>
    <t>Chickens</t>
  </si>
  <si>
    <t>Livestock Populations by County</t>
  </si>
  <si>
    <t>Basin</t>
  </si>
  <si>
    <t>Lower Colorado Basin</t>
  </si>
  <si>
    <t>Pecos Basin</t>
  </si>
  <si>
    <t>Rio Grande Basin</t>
  </si>
  <si>
    <t>Texas Gulf Basin</t>
  </si>
  <si>
    <t>Upper Colorado Basin</t>
  </si>
  <si>
    <t>Livestock Populations by River Basin</t>
  </si>
  <si>
    <t>Arkansas-White-Red Basin</t>
  </si>
  <si>
    <t>Withdrawals by Livestock Category in acre-feet</t>
  </si>
  <si>
    <t>Reservoir</t>
  </si>
  <si>
    <t>Navajo Reservoir</t>
  </si>
  <si>
    <t>Elephant Butte Reservoir</t>
  </si>
  <si>
    <t>Caballo Reservoir</t>
  </si>
  <si>
    <t>Abiquiu Reservoir</t>
  </si>
  <si>
    <t>Cochiti Lake</t>
  </si>
  <si>
    <t>Conchas Lake</t>
  </si>
  <si>
    <t>Jemez Canyon Reservoir</t>
  </si>
  <si>
    <t>Santa Rosa Reservoir</t>
  </si>
  <si>
    <t>Brantley Lake</t>
  </si>
  <si>
    <t>Heron Reservoir</t>
  </si>
  <si>
    <t>El Vado Reservoir</t>
  </si>
  <si>
    <t>Farmington Lake</t>
  </si>
  <si>
    <t>Costilla Reservoir</t>
  </si>
  <si>
    <t>Lake Maloya</t>
  </si>
  <si>
    <t>Ute Reservoir</t>
  </si>
  <si>
    <t>Avalon Reservoir</t>
  </si>
  <si>
    <t>Lake Sumner</t>
  </si>
  <si>
    <t>Eagle Nest Lake</t>
  </si>
  <si>
    <t>Bluewater Lake</t>
  </si>
  <si>
    <t>Lake Isabel</t>
  </si>
  <si>
    <t>Storrie Lake</t>
  </si>
  <si>
    <t>Springer Lake</t>
  </si>
  <si>
    <t>Clayton Lake</t>
  </si>
  <si>
    <t>Bosque del Apache NWR</t>
  </si>
  <si>
    <t>Maxwell #13 Reservoir</t>
  </si>
  <si>
    <t>Stubblefield Reservoir</t>
  </si>
  <si>
    <t>Net Evaporation</t>
  </si>
  <si>
    <t>2020 Power Generating Facilities</t>
  </si>
  <si>
    <t>File Number</t>
  </si>
  <si>
    <t>Name Of Water User</t>
  </si>
  <si>
    <t>County Number</t>
  </si>
  <si>
    <t>TWN</t>
  </si>
  <si>
    <t>RNG</t>
  </si>
  <si>
    <t>SEC</t>
  </si>
  <si>
    <t>Comments</t>
  </si>
  <si>
    <t>Acre-feet</t>
  </si>
  <si>
    <t>PNM--Rio Bravo (AKA Delta-Person)</t>
  </si>
  <si>
    <t>10N</t>
  </si>
  <si>
    <t>03E</t>
  </si>
  <si>
    <t>RG-50</t>
  </si>
  <si>
    <t>PNM--Reeves</t>
  </si>
  <si>
    <t/>
  </si>
  <si>
    <t>LRG 11409</t>
  </si>
  <si>
    <t>Afton Generating Station (PNM)</t>
  </si>
  <si>
    <t>LRG</t>
  </si>
  <si>
    <t>LRG-780, 779, 780</t>
  </si>
  <si>
    <t>29S</t>
  </si>
  <si>
    <t>Lordsburg Generating Station (PNM)</t>
  </si>
  <si>
    <t xml:space="preserve">Hobbs Generating Station </t>
  </si>
  <si>
    <t>LEA</t>
  </si>
  <si>
    <t>L-1726 &amp; 1731</t>
  </si>
  <si>
    <t>Lea County Co-Op</t>
  </si>
  <si>
    <t>15S</t>
  </si>
  <si>
    <t>35E</t>
  </si>
  <si>
    <t>L-5834 &amp; 1550</t>
  </si>
  <si>
    <t>Xcel Energy--Cunningham</t>
  </si>
  <si>
    <t>17S</t>
  </si>
  <si>
    <t>L-5176 &amp; 3117</t>
  </si>
  <si>
    <t>Xcel Energy--Maddox</t>
  </si>
  <si>
    <t>18S</t>
  </si>
  <si>
    <t>36E</t>
  </si>
  <si>
    <t>Luna Energy Facility</t>
  </si>
  <si>
    <t>B-18,19,43-49,7,6,87</t>
  </si>
  <si>
    <t>BLU</t>
  </si>
  <si>
    <t>POR</t>
  </si>
  <si>
    <t>01N</t>
  </si>
  <si>
    <t>2838 &amp; 3258</t>
  </si>
  <si>
    <t>Four Corners Power Plant (BHP)</t>
  </si>
  <si>
    <t>PNM La Luz Energy Center</t>
  </si>
  <si>
    <t xml:space="preserve"> Valencia Energy Facility (operated by Southwest Generation)</t>
  </si>
  <si>
    <t>2 af supplied by public water supplier</t>
  </si>
  <si>
    <t xml:space="preserve">State Total </t>
  </si>
  <si>
    <t>389 af supplied by public water supplier</t>
  </si>
  <si>
    <t>all af supplied by public water supplier</t>
  </si>
  <si>
    <t>Groundwater Basin</t>
  </si>
  <si>
    <t>Megawatt Hours</t>
  </si>
  <si>
    <t xml:space="preserve">Energy Generated </t>
  </si>
  <si>
    <t>Bluffview Power Plant</t>
  </si>
  <si>
    <t>Animas Power Plant</t>
  </si>
  <si>
    <t>PNM--San Juan Generating Station--Waterflow</t>
  </si>
  <si>
    <t>PNM--Blackwater Station</t>
  </si>
  <si>
    <t>El Paso Electric--Rio Grande</t>
  </si>
  <si>
    <t>Tri State-Plains Electric--Pyramid</t>
  </si>
  <si>
    <t>Tri-State-Plains Electric--Escalante</t>
  </si>
  <si>
    <t>Crop Types and Acres used in Blaney-Criddle evapotranspiration calculations, 2020.</t>
  </si>
  <si>
    <t>Crop</t>
  </si>
  <si>
    <t>Corn (Grain)</t>
  </si>
  <si>
    <t>Corn (Silage)</t>
  </si>
  <si>
    <t>Sorghum (Grain)</t>
  </si>
  <si>
    <t>Sorghum (Silage)</t>
  </si>
  <si>
    <t>Barley (Wnt Pln)</t>
  </si>
  <si>
    <t>Rye (Wnt Pln)</t>
  </si>
  <si>
    <t>Wheat (Wnt Pln)</t>
  </si>
  <si>
    <t>Wheat (Spr Pln)</t>
  </si>
  <si>
    <t>Misc spr small grains</t>
  </si>
  <si>
    <t>Cotton (Upland/Pima)</t>
  </si>
  <si>
    <t>Sugar beets</t>
  </si>
  <si>
    <t>Misc field crops</t>
  </si>
  <si>
    <t>Nursery stock</t>
  </si>
  <si>
    <t>Oil seeds</t>
  </si>
  <si>
    <t>Pulses (Dry beans)</t>
  </si>
  <si>
    <t>Sod (Cool/Wrm seas)</t>
  </si>
  <si>
    <t>Alfalfa Hay</t>
  </si>
  <si>
    <t>Hay</t>
  </si>
  <si>
    <t>Pasture (Improved)</t>
  </si>
  <si>
    <t>Pasture (Native)</t>
  </si>
  <si>
    <t>Berries</t>
  </si>
  <si>
    <t>Fruit orchards</t>
  </si>
  <si>
    <t>Grapes</t>
  </si>
  <si>
    <t>Melons</t>
  </si>
  <si>
    <t>Peanuts</t>
  </si>
  <si>
    <t>Pecan orchards</t>
  </si>
  <si>
    <t>Pistachio orchards</t>
  </si>
  <si>
    <t>Chile</t>
  </si>
  <si>
    <t>Lettuce</t>
  </si>
  <si>
    <t>Onions</t>
  </si>
  <si>
    <t>Potatoes</t>
  </si>
  <si>
    <t>Misc vegetables</t>
  </si>
  <si>
    <t>Gross Irrigated</t>
  </si>
  <si>
    <t>Multiple-Cropped</t>
  </si>
  <si>
    <t>Net Irrigated</t>
  </si>
  <si>
    <t>Arkansas White-Red Basin</t>
  </si>
  <si>
    <t>Total</t>
  </si>
  <si>
    <t>Bernalillo Total</t>
  </si>
  <si>
    <t>Catron Total</t>
  </si>
  <si>
    <t>Chaves Total</t>
  </si>
  <si>
    <t>Cibola Total</t>
  </si>
  <si>
    <t>Colfax Total</t>
  </si>
  <si>
    <t>Curry Total</t>
  </si>
  <si>
    <t>De Baca Total</t>
  </si>
  <si>
    <t>Dona Ana Total</t>
  </si>
  <si>
    <t>Eddy Total</t>
  </si>
  <si>
    <t>Grant Total</t>
  </si>
  <si>
    <t>Guadalupe Total</t>
  </si>
  <si>
    <t>Harding Total</t>
  </si>
  <si>
    <t>Hidalgo Total</t>
  </si>
  <si>
    <t>Lea Total</t>
  </si>
  <si>
    <t>Lincoln Total</t>
  </si>
  <si>
    <t>Los Alamos Total</t>
  </si>
  <si>
    <t>Luna Total</t>
  </si>
  <si>
    <t>McKinley Total</t>
  </si>
  <si>
    <t>Mora Total</t>
  </si>
  <si>
    <t>Otero Total</t>
  </si>
  <si>
    <t>Quay Total</t>
  </si>
  <si>
    <t>Rio Arriba Total</t>
  </si>
  <si>
    <t>Roosevelt Total</t>
  </si>
  <si>
    <t>San Juan Total</t>
  </si>
  <si>
    <t>San Miguel Total</t>
  </si>
  <si>
    <t>Sandoval Total</t>
  </si>
  <si>
    <t>Santa Fe Total</t>
  </si>
  <si>
    <t>Sierra Total</t>
  </si>
  <si>
    <t>Socorro Total</t>
  </si>
  <si>
    <t>Taos Total</t>
  </si>
  <si>
    <t>Torrance Total</t>
  </si>
  <si>
    <t>Union Total</t>
  </si>
  <si>
    <t>Valencia Total</t>
  </si>
  <si>
    <t>Grand Total</t>
  </si>
  <si>
    <t>Pop</t>
  </si>
  <si>
    <t xml:space="preserve">2020 Reservoir Net Evaporation in acre-feet (for reservoirs with a storage capacity of 5,000 acre-feet or more) </t>
  </si>
  <si>
    <t>Livestock.  Withdrawals in acre-feet, in New Mexico Counties, 2020.</t>
  </si>
  <si>
    <t>Key:  RVB = river basin; POP = population; GPCD = gallons per capita per day; WSW = withdrawal, surface water; WGW = withdrawal, groundwater; Total = total withdrawal.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</si>
</sst>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Red]#,##0"/>
  </numFmts>
  <fonts count="15" x14ac:knownFonts="1">
    <font>
      <sz val="11"/>
      <color theme="1"/>
      <name val="Calibri"/>
      <family val="2"/>
      <scheme val="minor"/>
    </font>
    <font>
      <b/>
      <sz val="11"/>
      <color theme="1"/>
      <name val="Calibri"/>
      <family val="2"/>
      <scheme val="minor"/>
    </font>
    <font>
      <sz val="11"/>
      <color theme="1"/>
      <name val="Calibri"/>
      <family val="2"/>
    </font>
    <font>
      <sz val="11"/>
      <color theme="1"/>
      <name val="Aptos Narrow"/>
      <family val="2"/>
    </font>
    <font>
      <vertAlign val="superscript"/>
      <sz val="11"/>
      <color theme="1"/>
      <name val="Calibri"/>
      <family val="2"/>
      <scheme val="minor"/>
    </font>
    <font>
      <b/>
      <u/>
      <sz val="11"/>
      <color theme="1"/>
      <name val="Calibri"/>
      <family val="2"/>
      <scheme val="minor"/>
    </font>
    <font>
      <sz val="11"/>
      <color theme="1"/>
      <name val="Calibri"/>
      <family val="2"/>
      <scheme val="minor"/>
    </font>
    <font>
      <b/>
      <sz val="11"/>
      <name val="Calibri"/>
      <family val="2"/>
      <scheme val="minor"/>
    </font>
    <font>
      <sz val="10"/>
      <color indexed="8"/>
      <name val="Arial"/>
      <family val="2"/>
    </font>
    <font>
      <b/>
      <sz val="11"/>
      <color indexed="8"/>
      <name val="Calibri"/>
      <family val="2"/>
      <scheme val="minor"/>
    </font>
    <font>
      <sz val="11"/>
      <color indexed="8"/>
      <name val="Calibri"/>
      <family val="2"/>
      <scheme val="minor"/>
    </font>
    <font>
      <b/>
      <sz val="11"/>
      <color indexed="57"/>
      <name val="Calibri"/>
      <family val="2"/>
      <scheme val="minor"/>
    </font>
    <font>
      <sz val="11"/>
      <name val="Calibri"/>
      <family val="2"/>
      <scheme val="minor"/>
    </font>
    <font>
      <sz val="11"/>
      <color indexed="57"/>
      <name val="Calibri"/>
      <family val="2"/>
      <scheme val="minor"/>
    </font>
    <font>
      <sz val="11"/>
      <color rgb="FF000000"/>
      <name val="Cambria"/>
      <family val="1"/>
    </font>
  </fonts>
  <fills count="5">
    <fill>
      <patternFill patternType="none"/>
    </fill>
    <fill>
      <patternFill patternType="gray125"/>
    </fill>
    <fill>
      <patternFill patternType="solid">
        <fgColor theme="0" tint="-0.14999847407452621"/>
        <bgColor indexed="8"/>
      </patternFill>
    </fill>
    <fill>
      <patternFill patternType="solid">
        <fgColor theme="0" tint="-0.14999847407452621"/>
        <bgColor indexed="64"/>
      </patternFill>
    </fill>
    <fill>
      <patternFill patternType="solid">
        <fgColor theme="0"/>
        <bgColor indexed="64"/>
      </patternFill>
    </fill>
  </fills>
  <borders count="27">
    <border>
      <left/>
      <right/>
      <top/>
      <bottom/>
      <diagonal/>
    </border>
    <border>
      <left/>
      <right/>
      <top/>
      <bottom style="medium">
        <color indexed="64"/>
      </bottom>
      <diagonal/>
    </border>
    <border>
      <left/>
      <right/>
      <top style="medium">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double">
        <color indexed="64"/>
      </bottom>
      <diagonal/>
    </border>
    <border>
      <left/>
      <right/>
      <top style="thin">
        <color indexed="64"/>
      </top>
      <bottom style="medium">
        <color indexed="64"/>
      </bottom>
      <diagonal/>
    </border>
    <border>
      <left style="thin">
        <color indexed="22"/>
      </left>
      <right style="thin">
        <color indexed="22"/>
      </right>
      <top style="thin">
        <color indexed="22"/>
      </top>
      <bottom style="thin">
        <color indexed="22"/>
      </bottom>
      <diagonal/>
    </border>
    <border>
      <left style="thin">
        <color indexed="22"/>
      </left>
      <right/>
      <top style="thin">
        <color indexed="22"/>
      </top>
      <bottom style="thin">
        <color indexed="22"/>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64"/>
      </bottom>
      <diagonal/>
    </border>
    <border>
      <left style="thin">
        <color indexed="64"/>
      </left>
      <right/>
      <top style="thin">
        <color indexed="64"/>
      </top>
      <bottom/>
      <diagonal/>
    </border>
    <border>
      <left style="thin">
        <color indexed="64"/>
      </left>
      <right/>
      <top/>
      <bottom/>
      <diagonal/>
    </border>
  </borders>
  <cellStyleXfs count="5">
    <xf numFmtId="0" fontId="0" fillId="0" borderId="0"/>
    <xf numFmtId="43" fontId="6" fillId="0" borderId="0" applyFont="0" applyFill="0" applyBorder="0" applyAlignment="0" applyProtection="0"/>
    <xf numFmtId="0" fontId="8" fillId="0" borderId="0"/>
    <xf numFmtId="0" fontId="8" fillId="0" borderId="0"/>
    <xf numFmtId="0" fontId="8" fillId="0" borderId="0"/>
  </cellStyleXfs>
  <cellXfs count="156">
    <xf numFmtId="0" fontId="0" fillId="0" borderId="0" xfId="0"/>
    <xf numFmtId="0" fontId="1" fillId="0" borderId="0" xfId="0" applyFont="1"/>
    <xf numFmtId="0" fontId="1" fillId="0" borderId="1" xfId="0" applyFont="1" applyBorder="1"/>
    <xf numFmtId="0" fontId="0" fillId="0" borderId="1" xfId="0" applyBorder="1"/>
    <xf numFmtId="0" fontId="1" fillId="0" borderId="2" xfId="0" applyFont="1" applyBorder="1"/>
    <xf numFmtId="0" fontId="1" fillId="0" borderId="2" xfId="0" applyFont="1" applyBorder="1" applyAlignment="1">
      <alignment horizontal="right"/>
    </xf>
    <xf numFmtId="3" fontId="0" fillId="0" borderId="0" xfId="0" applyNumberFormat="1"/>
    <xf numFmtId="3" fontId="0" fillId="0" borderId="1" xfId="0" applyNumberFormat="1" applyBorder="1"/>
    <xf numFmtId="10" fontId="0" fillId="0" borderId="0" xfId="0" applyNumberFormat="1"/>
    <xf numFmtId="10" fontId="0" fillId="0" borderId="1" xfId="0" applyNumberFormat="1" applyBorder="1"/>
    <xf numFmtId="0" fontId="1" fillId="0" borderId="2" xfId="0" applyFont="1" applyBorder="1" applyAlignment="1">
      <alignment horizontal="center"/>
    </xf>
    <xf numFmtId="0" fontId="0" fillId="0" borderId="0" xfId="0" applyAlignment="1">
      <alignment horizontal="center"/>
    </xf>
    <xf numFmtId="0" fontId="1" fillId="0" borderId="1" xfId="0" applyFont="1" applyBorder="1" applyAlignment="1">
      <alignment horizontal="left"/>
    </xf>
    <xf numFmtId="0" fontId="0" fillId="0" borderId="1" xfId="0" applyBorder="1" applyAlignment="1">
      <alignment horizontal="center"/>
    </xf>
    <xf numFmtId="0" fontId="0" fillId="0" borderId="0" xfId="0" applyAlignment="1">
      <alignment horizontal="left"/>
    </xf>
    <xf numFmtId="2" fontId="0" fillId="0" borderId="1" xfId="0" applyNumberFormat="1" applyBorder="1" applyAlignment="1">
      <alignment horizontal="center"/>
    </xf>
    <xf numFmtId="2" fontId="1" fillId="0" borderId="2" xfId="0" applyNumberFormat="1" applyFont="1" applyBorder="1" applyAlignment="1">
      <alignment horizontal="center"/>
    </xf>
    <xf numFmtId="2" fontId="0" fillId="0" borderId="0" xfId="0" applyNumberFormat="1" applyAlignment="1">
      <alignment horizontal="center"/>
    </xf>
    <xf numFmtId="3" fontId="1" fillId="0" borderId="2" xfId="0" applyNumberFormat="1" applyFont="1" applyBorder="1" applyAlignment="1">
      <alignment horizontal="right"/>
    </xf>
    <xf numFmtId="2" fontId="1" fillId="0" borderId="4" xfId="0" applyNumberFormat="1" applyFont="1" applyBorder="1" applyAlignment="1">
      <alignment horizontal="center"/>
    </xf>
    <xf numFmtId="2" fontId="0" fillId="0" borderId="5" xfId="0" applyNumberFormat="1" applyBorder="1" applyAlignment="1">
      <alignment horizontal="center"/>
    </xf>
    <xf numFmtId="3" fontId="1" fillId="0" borderId="4" xfId="0" applyNumberFormat="1" applyFont="1" applyBorder="1" applyAlignment="1">
      <alignment horizontal="right"/>
    </xf>
    <xf numFmtId="3" fontId="0" fillId="0" borderId="5" xfId="0" applyNumberFormat="1" applyBorder="1"/>
    <xf numFmtId="3" fontId="0" fillId="0" borderId="6" xfId="0" applyNumberFormat="1" applyBorder="1"/>
    <xf numFmtId="3" fontId="0" fillId="0" borderId="7" xfId="0" applyNumberFormat="1" applyBorder="1"/>
    <xf numFmtId="3" fontId="0" fillId="0" borderId="8" xfId="0" applyNumberFormat="1" applyBorder="1"/>
    <xf numFmtId="2" fontId="0" fillId="0" borderId="7" xfId="0" applyNumberFormat="1" applyBorder="1" applyAlignment="1">
      <alignment horizontal="center"/>
    </xf>
    <xf numFmtId="2" fontId="1" fillId="0" borderId="9" xfId="0" applyNumberFormat="1" applyFont="1" applyBorder="1" applyAlignment="1">
      <alignment horizontal="right"/>
    </xf>
    <xf numFmtId="3" fontId="0" fillId="0" borderId="9" xfId="0" applyNumberFormat="1" applyBorder="1"/>
    <xf numFmtId="3" fontId="0" fillId="0" borderId="10" xfId="0" applyNumberFormat="1" applyBorder="1"/>
    <xf numFmtId="3" fontId="0" fillId="0" borderId="11" xfId="0" applyNumberFormat="1" applyBorder="1"/>
    <xf numFmtId="3" fontId="0" fillId="0" borderId="12" xfId="0" applyNumberFormat="1" applyBorder="1"/>
    <xf numFmtId="2" fontId="0" fillId="0" borderId="11" xfId="0" applyNumberFormat="1" applyBorder="1" applyAlignment="1">
      <alignment horizontal="center"/>
    </xf>
    <xf numFmtId="2" fontId="1" fillId="0" borderId="3" xfId="0" applyNumberFormat="1" applyFont="1" applyBorder="1" applyAlignment="1">
      <alignment horizontal="right"/>
    </xf>
    <xf numFmtId="3" fontId="0" fillId="0" borderId="3" xfId="0" applyNumberFormat="1" applyBorder="1"/>
    <xf numFmtId="0" fontId="0" fillId="0" borderId="13" xfId="0" applyBorder="1"/>
    <xf numFmtId="0" fontId="0" fillId="0" borderId="13" xfId="0" applyBorder="1" applyAlignment="1">
      <alignment horizontal="center"/>
    </xf>
    <xf numFmtId="2" fontId="1" fillId="0" borderId="14" xfId="0" applyNumberFormat="1" applyFont="1" applyBorder="1" applyAlignment="1">
      <alignment horizontal="right"/>
    </xf>
    <xf numFmtId="3" fontId="0" fillId="0" borderId="13" xfId="0" applyNumberFormat="1" applyBorder="1"/>
    <xf numFmtId="3" fontId="0" fillId="0" borderId="14" xfId="0" applyNumberFormat="1" applyBorder="1"/>
    <xf numFmtId="2" fontId="0" fillId="0" borderId="13" xfId="0" applyNumberFormat="1" applyBorder="1" applyAlignment="1">
      <alignment horizontal="center"/>
    </xf>
    <xf numFmtId="0" fontId="1" fillId="0" borderId="9" xfId="0" applyFont="1" applyBorder="1"/>
    <xf numFmtId="0" fontId="1" fillId="0" borderId="1" xfId="0" applyFont="1" applyBorder="1" applyAlignment="1">
      <alignment horizontal="center"/>
    </xf>
    <xf numFmtId="0" fontId="1" fillId="0" borderId="9" xfId="0" applyFont="1" applyBorder="1" applyAlignment="1">
      <alignment horizontal="center"/>
    </xf>
    <xf numFmtId="0" fontId="5" fillId="0" borderId="15" xfId="0" applyFont="1" applyBorder="1" applyAlignment="1">
      <alignment horizontal="center"/>
    </xf>
    <xf numFmtId="0" fontId="5" fillId="0" borderId="1" xfId="0" applyFont="1" applyBorder="1" applyAlignment="1">
      <alignment horizontal="center"/>
    </xf>
    <xf numFmtId="0" fontId="0" fillId="0" borderId="3" xfId="0" applyBorder="1"/>
    <xf numFmtId="0" fontId="0" fillId="0" borderId="5" xfId="0" applyBorder="1"/>
    <xf numFmtId="3" fontId="0" fillId="0" borderId="16" xfId="0" applyNumberFormat="1" applyBorder="1"/>
    <xf numFmtId="3" fontId="0" fillId="0" borderId="17" xfId="0" applyNumberFormat="1" applyBorder="1"/>
    <xf numFmtId="0" fontId="0" fillId="0" borderId="12" xfId="0" applyBorder="1"/>
    <xf numFmtId="3" fontId="0" fillId="0" borderId="18" xfId="0" applyNumberFormat="1" applyBorder="1"/>
    <xf numFmtId="3" fontId="0" fillId="0" borderId="0" xfId="0" applyNumberFormat="1" applyAlignment="1">
      <alignment horizontal="right"/>
    </xf>
    <xf numFmtId="37" fontId="0" fillId="0" borderId="0" xfId="1" applyNumberFormat="1" applyFont="1" applyFill="1" applyBorder="1" applyAlignment="1">
      <alignment horizontal="center" vertical="center"/>
    </xf>
    <xf numFmtId="37" fontId="0" fillId="0" borderId="0" xfId="0" applyNumberFormat="1" applyAlignment="1">
      <alignment horizontal="center" vertical="center"/>
    </xf>
    <xf numFmtId="3" fontId="0" fillId="0" borderId="19" xfId="0" applyNumberFormat="1" applyBorder="1"/>
    <xf numFmtId="3" fontId="0" fillId="0" borderId="19" xfId="0" applyNumberFormat="1" applyBorder="1" applyAlignment="1">
      <alignment horizontal="right"/>
    </xf>
    <xf numFmtId="0" fontId="0" fillId="0" borderId="19" xfId="0" applyBorder="1" applyAlignment="1">
      <alignment horizontal="center"/>
    </xf>
    <xf numFmtId="37" fontId="0" fillId="0" borderId="19" xfId="0" applyNumberFormat="1" applyBorder="1" applyAlignment="1">
      <alignment horizontal="center" vertical="center"/>
    </xf>
    <xf numFmtId="0" fontId="1" fillId="0" borderId="13" xfId="0" applyFont="1" applyBorder="1" applyAlignment="1">
      <alignment horizontal="right"/>
    </xf>
    <xf numFmtId="0" fontId="1" fillId="0" borderId="1" xfId="0" applyFont="1" applyBorder="1" applyAlignment="1">
      <alignment horizontal="right"/>
    </xf>
    <xf numFmtId="3" fontId="0" fillId="0" borderId="20" xfId="0" applyNumberFormat="1" applyBorder="1"/>
    <xf numFmtId="3" fontId="0" fillId="0" borderId="20" xfId="0" applyNumberFormat="1" applyBorder="1" applyAlignment="1">
      <alignment horizontal="right"/>
    </xf>
    <xf numFmtId="0" fontId="0" fillId="0" borderId="20" xfId="0" applyBorder="1" applyAlignment="1">
      <alignment horizontal="center"/>
    </xf>
    <xf numFmtId="37" fontId="0" fillId="0" borderId="20" xfId="0" applyNumberFormat="1" applyBorder="1" applyAlignment="1">
      <alignment horizontal="center" vertical="center"/>
    </xf>
    <xf numFmtId="0" fontId="1" fillId="0" borderId="0" xfId="0" applyFont="1" applyAlignment="1">
      <alignment horizontal="right"/>
    </xf>
    <xf numFmtId="3" fontId="0" fillId="0" borderId="0" xfId="0" applyNumberFormat="1" applyAlignment="1">
      <alignment horizontal="center"/>
    </xf>
    <xf numFmtId="2" fontId="0" fillId="0" borderId="0" xfId="0" applyNumberFormat="1"/>
    <xf numFmtId="2" fontId="0" fillId="0" borderId="1" xfId="0" applyNumberFormat="1" applyBorder="1"/>
    <xf numFmtId="2" fontId="0" fillId="0" borderId="0" xfId="0" applyNumberFormat="1" applyAlignment="1">
      <alignment horizontal="right"/>
    </xf>
    <xf numFmtId="2" fontId="0" fillId="0" borderId="1" xfId="0" applyNumberFormat="1" applyBorder="1" applyAlignment="1">
      <alignment horizontal="right"/>
    </xf>
    <xf numFmtId="0" fontId="1" fillId="0" borderId="2" xfId="0" applyFont="1" applyBorder="1" applyAlignment="1">
      <alignment horizontal="left"/>
    </xf>
    <xf numFmtId="3" fontId="1" fillId="0" borderId="1" xfId="0" applyNumberFormat="1" applyFont="1" applyBorder="1"/>
    <xf numFmtId="3" fontId="1" fillId="0" borderId="0" xfId="0" applyNumberFormat="1" applyFont="1"/>
    <xf numFmtId="9" fontId="0" fillId="0" borderId="0" xfId="0" applyNumberFormat="1"/>
    <xf numFmtId="0" fontId="0" fillId="0" borderId="7" xfId="0" applyBorder="1"/>
    <xf numFmtId="0" fontId="0" fillId="0" borderId="11" xfId="0" applyBorder="1"/>
    <xf numFmtId="0" fontId="0" fillId="0" borderId="7" xfId="0" applyBorder="1" applyAlignment="1">
      <alignment horizontal="right"/>
    </xf>
    <xf numFmtId="164" fontId="0" fillId="0" borderId="0" xfId="0" applyNumberFormat="1"/>
    <xf numFmtId="164" fontId="0" fillId="0" borderId="11" xfId="0" applyNumberFormat="1" applyBorder="1"/>
    <xf numFmtId="0" fontId="0" fillId="0" borderId="0" xfId="0" quotePrefix="1" applyAlignment="1">
      <alignment horizontal="center"/>
    </xf>
    <xf numFmtId="0" fontId="0" fillId="0" borderId="7" xfId="0" applyBorder="1" applyAlignment="1">
      <alignment horizontal="center"/>
    </xf>
    <xf numFmtId="0" fontId="0" fillId="0" borderId="0" xfId="0" applyAlignment="1">
      <alignment vertical="center"/>
    </xf>
    <xf numFmtId="0" fontId="0" fillId="0" borderId="0" xfId="0" applyAlignment="1">
      <alignment horizontal="center" vertical="center"/>
    </xf>
    <xf numFmtId="0" fontId="7" fillId="0" borderId="0" xfId="0" applyFont="1" applyAlignment="1">
      <alignment horizontal="center" vertical="center" wrapText="1"/>
    </xf>
    <xf numFmtId="0" fontId="10" fillId="0" borderId="21" xfId="3" applyFont="1" applyBorder="1" applyAlignment="1">
      <alignment horizontal="left" wrapText="1"/>
    </xf>
    <xf numFmtId="0" fontId="10" fillId="0" borderId="21" xfId="3" applyFont="1" applyBorder="1" applyAlignment="1">
      <alignment horizontal="center" vertical="center" wrapText="1"/>
    </xf>
    <xf numFmtId="165" fontId="10" fillId="0" borderId="0" xfId="3" applyNumberFormat="1" applyFont="1" applyAlignment="1">
      <alignment horizontal="center" vertical="center" wrapText="1"/>
    </xf>
    <xf numFmtId="0" fontId="10" fillId="2" borderId="21" xfId="3" applyFont="1" applyFill="1" applyBorder="1" applyAlignment="1">
      <alignment horizontal="left" wrapText="1"/>
    </xf>
    <xf numFmtId="0" fontId="10" fillId="2" borderId="21" xfId="3" applyFont="1" applyFill="1" applyBorder="1" applyAlignment="1">
      <alignment vertical="center" wrapText="1"/>
    </xf>
    <xf numFmtId="0" fontId="10" fillId="2" borderId="21" xfId="3" applyFont="1" applyFill="1" applyBorder="1" applyAlignment="1">
      <alignment horizontal="center" vertical="center" wrapText="1"/>
    </xf>
    <xf numFmtId="165" fontId="10" fillId="2" borderId="0" xfId="3" applyNumberFormat="1" applyFont="1" applyFill="1" applyAlignment="1">
      <alignment horizontal="center" vertical="center" wrapText="1"/>
    </xf>
    <xf numFmtId="165" fontId="11" fillId="3" borderId="0" xfId="0" applyNumberFormat="1" applyFont="1" applyFill="1" applyAlignment="1">
      <alignment horizontal="center"/>
    </xf>
    <xf numFmtId="0" fontId="11" fillId="3" borderId="0" xfId="0" applyFont="1" applyFill="1"/>
    <xf numFmtId="0" fontId="11" fillId="0" borderId="0" xfId="0" applyFont="1"/>
    <xf numFmtId="0" fontId="10" fillId="0" borderId="21" xfId="3" applyFont="1" applyBorder="1" applyAlignment="1">
      <alignment vertical="center" wrapText="1"/>
    </xf>
    <xf numFmtId="0" fontId="10" fillId="0" borderId="22" xfId="3" applyFont="1" applyBorder="1" applyAlignment="1">
      <alignment horizontal="center" vertical="center" wrapText="1"/>
    </xf>
    <xf numFmtId="165" fontId="10" fillId="3" borderId="0" xfId="3" applyNumberFormat="1" applyFont="1" applyFill="1" applyAlignment="1">
      <alignment horizontal="center" vertical="center" wrapText="1"/>
    </xf>
    <xf numFmtId="0" fontId="12" fillId="0" borderId="0" xfId="0" applyFont="1"/>
    <xf numFmtId="0" fontId="10" fillId="4" borderId="21" xfId="3" applyFont="1" applyFill="1" applyBorder="1" applyAlignment="1">
      <alignment horizontal="left" wrapText="1"/>
    </xf>
    <xf numFmtId="0" fontId="10" fillId="4" borderId="21" xfId="3" applyFont="1" applyFill="1" applyBorder="1" applyAlignment="1">
      <alignment vertical="center" wrapText="1"/>
    </xf>
    <xf numFmtId="0" fontId="10" fillId="4" borderId="21" xfId="3" applyFont="1" applyFill="1" applyBorder="1" applyAlignment="1">
      <alignment horizontal="center" vertical="center" wrapText="1"/>
    </xf>
    <xf numFmtId="0" fontId="0" fillId="4" borderId="0" xfId="0" applyFill="1"/>
    <xf numFmtId="0" fontId="12" fillId="0" borderId="21" xfId="4" applyFont="1" applyBorder="1" applyAlignment="1">
      <alignment horizontal="left" wrapText="1"/>
    </xf>
    <xf numFmtId="0" fontId="12" fillId="0" borderId="21" xfId="3" applyFont="1" applyBorder="1" applyAlignment="1">
      <alignment vertical="center" wrapText="1"/>
    </xf>
    <xf numFmtId="0" fontId="12" fillId="0" borderId="21" xfId="3" applyFont="1" applyBorder="1" applyAlignment="1">
      <alignment horizontal="center" vertical="center" wrapText="1"/>
    </xf>
    <xf numFmtId="0" fontId="10" fillId="2" borderId="0" xfId="3" applyFont="1" applyFill="1" applyAlignment="1">
      <alignment vertical="center" wrapText="1"/>
    </xf>
    <xf numFmtId="0" fontId="0" fillId="3" borderId="21" xfId="0" applyFill="1" applyBorder="1" applyAlignment="1">
      <alignment horizontal="center" vertical="center"/>
    </xf>
    <xf numFmtId="0" fontId="13" fillId="3" borderId="0" xfId="0" applyFont="1" applyFill="1"/>
    <xf numFmtId="0" fontId="0" fillId="0" borderId="21" xfId="0" applyBorder="1" applyAlignment="1">
      <alignment horizontal="center" vertical="center"/>
    </xf>
    <xf numFmtId="0" fontId="10" fillId="3" borderId="21" xfId="3" applyFont="1" applyFill="1" applyBorder="1" applyAlignment="1">
      <alignment horizontal="left" wrapText="1"/>
    </xf>
    <xf numFmtId="0" fontId="10" fillId="3" borderId="0" xfId="3" applyFont="1" applyFill="1" applyAlignment="1">
      <alignment vertical="center" wrapText="1"/>
    </xf>
    <xf numFmtId="0" fontId="10" fillId="3" borderId="21" xfId="3" applyFont="1" applyFill="1" applyBorder="1" applyAlignment="1">
      <alignment horizontal="center" vertical="center" wrapText="1"/>
    </xf>
    <xf numFmtId="0" fontId="10" fillId="0" borderId="21" xfId="4" applyFont="1" applyBorder="1" applyAlignment="1">
      <alignment horizontal="left" wrapText="1"/>
    </xf>
    <xf numFmtId="0" fontId="10" fillId="3" borderId="21" xfId="4" applyFont="1" applyFill="1" applyBorder="1" applyAlignment="1">
      <alignment horizontal="left" wrapText="1"/>
    </xf>
    <xf numFmtId="0" fontId="10" fillId="3" borderId="21" xfId="3" applyFont="1" applyFill="1" applyBorder="1" applyAlignment="1">
      <alignment vertical="center" wrapText="1"/>
    </xf>
    <xf numFmtId="0" fontId="10" fillId="0" borderId="0" xfId="3" applyFont="1" applyAlignment="1">
      <alignment horizontal="left" wrapText="1"/>
    </xf>
    <xf numFmtId="0" fontId="10" fillId="0" borderId="0" xfId="3" applyFont="1" applyAlignment="1">
      <alignment horizontal="center" vertical="center" wrapText="1"/>
    </xf>
    <xf numFmtId="0" fontId="0" fillId="3" borderId="0" xfId="0" applyFill="1"/>
    <xf numFmtId="0" fontId="0" fillId="3" borderId="0" xfId="0" applyFill="1" applyAlignment="1">
      <alignment vertical="center"/>
    </xf>
    <xf numFmtId="0" fontId="0" fillId="3" borderId="0" xfId="0" applyFill="1" applyAlignment="1">
      <alignment horizontal="center" vertical="center"/>
    </xf>
    <xf numFmtId="165" fontId="0" fillId="3" borderId="0" xfId="0" applyNumberFormat="1" applyFill="1" applyAlignment="1">
      <alignment horizontal="center"/>
    </xf>
    <xf numFmtId="0" fontId="12" fillId="3" borderId="0" xfId="0" applyFont="1" applyFill="1"/>
    <xf numFmtId="0" fontId="10" fillId="0" borderId="0" xfId="3" applyFont="1" applyAlignment="1">
      <alignment vertical="center" wrapText="1"/>
    </xf>
    <xf numFmtId="43" fontId="0" fillId="0" borderId="0" xfId="0" applyNumberFormat="1" applyAlignment="1">
      <alignment horizontal="center"/>
    </xf>
    <xf numFmtId="165" fontId="0" fillId="0" borderId="0" xfId="0" applyNumberFormat="1" applyAlignment="1">
      <alignment horizontal="center"/>
    </xf>
    <xf numFmtId="43" fontId="0" fillId="0" borderId="0" xfId="0" applyNumberFormat="1"/>
    <xf numFmtId="43" fontId="11" fillId="3" borderId="0" xfId="0" applyNumberFormat="1" applyFont="1" applyFill="1" applyAlignment="1">
      <alignment horizontal="center"/>
    </xf>
    <xf numFmtId="43" fontId="0" fillId="3" borderId="0" xfId="0" applyNumberFormat="1" applyFill="1" applyAlignment="1">
      <alignment horizontal="center"/>
    </xf>
    <xf numFmtId="0" fontId="7" fillId="0" borderId="23" xfId="0" applyFont="1" applyBorder="1" applyAlignment="1">
      <alignment vertical="center"/>
    </xf>
    <xf numFmtId="0" fontId="9" fillId="0" borderId="23" xfId="2" applyFont="1" applyBorder="1" applyAlignment="1">
      <alignment horizontal="center" vertical="center" wrapText="1"/>
    </xf>
    <xf numFmtId="0" fontId="7" fillId="0" borderId="23" xfId="0" applyFont="1" applyBorder="1" applyAlignment="1">
      <alignment horizontal="center" vertical="center" wrapText="1"/>
    </xf>
    <xf numFmtId="0" fontId="1" fillId="0" borderId="1" xfId="0" applyFont="1" applyBorder="1" applyAlignment="1">
      <alignment vertical="center"/>
    </xf>
    <xf numFmtId="0" fontId="0" fillId="0" borderId="1" xfId="0" applyBorder="1" applyAlignment="1">
      <alignment vertical="center"/>
    </xf>
    <xf numFmtId="0" fontId="0" fillId="0" borderId="1" xfId="0" applyBorder="1" applyAlignment="1">
      <alignment horizontal="center" vertical="center"/>
    </xf>
    <xf numFmtId="0" fontId="10" fillId="0" borderId="23" xfId="3" applyFont="1" applyBorder="1" applyAlignment="1">
      <alignment horizontal="left" wrapText="1"/>
    </xf>
    <xf numFmtId="0" fontId="10" fillId="0" borderId="23" xfId="3" applyFont="1" applyBorder="1" applyAlignment="1">
      <alignment vertical="center" wrapText="1"/>
    </xf>
    <xf numFmtId="0" fontId="10" fillId="0" borderId="23" xfId="3" applyFont="1" applyBorder="1" applyAlignment="1">
      <alignment horizontal="center" vertical="center" wrapText="1"/>
    </xf>
    <xf numFmtId="0" fontId="7" fillId="0" borderId="11" xfId="0" applyFont="1" applyBorder="1" applyAlignment="1">
      <alignment vertical="center"/>
    </xf>
    <xf numFmtId="0" fontId="7" fillId="0" borderId="24" xfId="0" applyFont="1" applyBorder="1" applyAlignment="1">
      <alignment vertical="center"/>
    </xf>
    <xf numFmtId="0" fontId="9" fillId="0" borderId="24" xfId="2" applyFont="1" applyBorder="1" applyAlignment="1">
      <alignment horizontal="center" vertical="center" wrapText="1"/>
    </xf>
    <xf numFmtId="0" fontId="7" fillId="0" borderId="24" xfId="0" applyFont="1" applyBorder="1" applyAlignment="1">
      <alignment horizontal="center" vertical="center" wrapText="1"/>
    </xf>
    <xf numFmtId="0" fontId="7" fillId="0" borderId="11" xfId="0" applyFont="1" applyBorder="1" applyAlignment="1">
      <alignment horizontal="center" vertical="center" wrapText="1"/>
    </xf>
    <xf numFmtId="0" fontId="1" fillId="0" borderId="11" xfId="0" applyFont="1" applyBorder="1" applyAlignment="1">
      <alignment horizontal="center"/>
    </xf>
    <xf numFmtId="0" fontId="1" fillId="0" borderId="11" xfId="0" applyFont="1" applyBorder="1" applyAlignment="1">
      <alignment horizontal="left"/>
    </xf>
    <xf numFmtId="0" fontId="1" fillId="0" borderId="0" xfId="0" applyFont="1" applyAlignment="1">
      <alignment horizontal="center"/>
    </xf>
    <xf numFmtId="3" fontId="0" fillId="0" borderId="25" xfId="0" applyNumberFormat="1" applyBorder="1"/>
    <xf numFmtId="3" fontId="0" fillId="0" borderId="26" xfId="0" applyNumberFormat="1" applyBorder="1"/>
    <xf numFmtId="0" fontId="1" fillId="0" borderId="10" xfId="0" applyFont="1" applyBorder="1" applyAlignment="1">
      <alignment horizontal="center"/>
    </xf>
    <xf numFmtId="0" fontId="1" fillId="0" borderId="19" xfId="0" applyFont="1" applyBorder="1" applyAlignment="1">
      <alignment horizontal="center"/>
    </xf>
    <xf numFmtId="3" fontId="1" fillId="0" borderId="19" xfId="0" applyNumberFormat="1" applyFont="1" applyBorder="1" applyAlignment="1">
      <alignment horizontal="center"/>
    </xf>
    <xf numFmtId="4" fontId="0" fillId="0" borderId="0" xfId="0" applyNumberFormat="1" applyAlignment="1">
      <alignment horizontal="center"/>
    </xf>
    <xf numFmtId="4" fontId="1" fillId="0" borderId="19" xfId="0" applyNumberFormat="1" applyFont="1" applyBorder="1" applyAlignment="1">
      <alignment horizontal="center"/>
    </xf>
    <xf numFmtId="0" fontId="1" fillId="0" borderId="1" xfId="0" applyFont="1" applyBorder="1" applyAlignment="1">
      <alignment horizontal="center"/>
    </xf>
    <xf numFmtId="0" fontId="14" fillId="0" borderId="0" xfId="0" applyFont="1" applyAlignment="1">
      <alignment wrapText="1"/>
    </xf>
    <xf numFmtId="0" fontId="1" fillId="0" borderId="1" xfId="0" applyFont="1" applyBorder="1" applyAlignment="1">
      <alignment horizontal="left" wrapText="1"/>
    </xf>
  </cellXfs>
  <cellStyles count="5">
    <cellStyle name="Comma" xfId="1" builtinId="3"/>
    <cellStyle name="Normal" xfId="0" builtinId="0"/>
    <cellStyle name="Normal_Commerical, Industrial, Mining " xfId="2" xr:uid="{247213FA-D29C-4279-8530-C7510E82CE71}"/>
    <cellStyle name="Normal_Industrial, Mining &amp; Power" xfId="3" xr:uid="{4835E45A-82C7-49D3-B730-80A6D395B794}"/>
    <cellStyle name="Normal_Sheet1" xfId="4" xr:uid="{63EE6D69-DBF8-44EA-8C5B-5A75783D7A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104775</xdr:rowOff>
    </xdr:from>
    <xdr:to>
      <xdr:col>11</xdr:col>
      <xdr:colOff>542925</xdr:colOff>
      <xdr:row>69</xdr:row>
      <xdr:rowOff>99060</xdr:rowOff>
    </xdr:to>
    <xdr:sp macro="" textlink="">
      <xdr:nvSpPr>
        <xdr:cNvPr id="2" name="TextBox 1">
          <a:extLst>
            <a:ext uri="{FF2B5EF4-FFF2-40B4-BE49-F238E27FC236}">
              <a16:creationId xmlns:a16="http://schemas.microsoft.com/office/drawing/2014/main" id="{591DC71B-E0BB-98AD-6C2A-9384E64F8A2D}"/>
            </a:ext>
          </a:extLst>
        </xdr:cNvPr>
        <xdr:cNvSpPr txBox="1"/>
      </xdr:nvSpPr>
      <xdr:spPr>
        <a:xfrm>
          <a:off x="685800" y="287655"/>
          <a:ext cx="6562725" cy="12430125"/>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Disclaimer</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The data provided from the New Mexico Water Use by Categories 2020 report is furnished by the Office of the State Engineer (OSE) and may have errors. The data is accepted for use by the recipient with the expressed understanding that the OSE and author(s) of the data make no warranties, expressed or implied, concerning the accuracy, completeness, reliability, usability or suitability for any particular purpose of the data. </a:t>
          </a:r>
        </a:p>
        <a:p>
          <a:r>
            <a:rPr lang="en-US" sz="1100">
              <a:solidFill>
                <a:schemeClr val="dk1"/>
              </a:solidFill>
              <a:effectLst/>
              <a:latin typeface="+mn-lt"/>
              <a:ea typeface="+mn-ea"/>
              <a:cs typeface="+mn-cs"/>
            </a:rPr>
            <a:t> </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Metadata for WaterUse2020 Excel workbook</a:t>
          </a:r>
        </a:p>
        <a:p>
          <a:endParaRPr lang="en-US" sz="1100">
            <a:solidFill>
              <a:schemeClr val="dk1"/>
            </a:solidFill>
            <a:effectLst/>
            <a:latin typeface="+mn-lt"/>
            <a:ea typeface="+mn-ea"/>
            <a:cs typeface="+mn-cs"/>
          </a:endParaRPr>
        </a:p>
        <a:p>
          <a:pPr lvl="0"/>
          <a:r>
            <a:rPr lang="en-US" sz="1100" b="1">
              <a:solidFill>
                <a:schemeClr val="dk1"/>
              </a:solidFill>
              <a:effectLst/>
              <a:latin typeface="+mn-lt"/>
              <a:ea typeface="+mn-ea"/>
              <a:cs typeface="+mn-cs"/>
            </a:rPr>
            <a:t>Table 1.  Populations in New Mexico river basins, 2020.</a:t>
          </a:r>
          <a:endParaRPr lang="en-US" sz="1100">
            <a:solidFill>
              <a:schemeClr val="dk1"/>
            </a:solidFill>
            <a:effectLst/>
            <a:latin typeface="+mn-lt"/>
            <a:ea typeface="+mn-ea"/>
            <a:cs typeface="+mn-cs"/>
          </a:endParaRPr>
        </a:p>
        <a:p>
          <a:pPr lvl="0"/>
          <a:r>
            <a:rPr lang="en-US" sz="1100" b="1">
              <a:solidFill>
                <a:schemeClr val="dk1"/>
              </a:solidFill>
              <a:effectLst/>
              <a:latin typeface="+mn-lt"/>
              <a:ea typeface="+mn-ea"/>
              <a:cs typeface="+mn-cs"/>
            </a:rPr>
            <a:t>Table 2.</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Summary of withdrawals (acre-feet) in New Mexico, 2020.</a:t>
          </a:r>
          <a:r>
            <a:rPr lang="en-US" sz="1100">
              <a:solidFill>
                <a:schemeClr val="dk1"/>
              </a:solidFill>
              <a:effectLst/>
              <a:latin typeface="+mn-lt"/>
              <a:ea typeface="+mn-ea"/>
              <a:cs typeface="+mn-cs"/>
            </a:rPr>
            <a:t> </a:t>
          </a:r>
        </a:p>
        <a:p>
          <a:pPr lvl="1"/>
          <a:r>
            <a:rPr lang="en-US" sz="1100">
              <a:solidFill>
                <a:schemeClr val="dk1"/>
              </a:solidFill>
              <a:effectLst/>
              <a:latin typeface="+mn-lt"/>
              <a:ea typeface="+mn-ea"/>
              <a:cs typeface="+mn-cs"/>
            </a:rPr>
            <a:t>WSW = withdrawal surface water; WGW = withdrawal groundwater; TW = total withdrawal.</a:t>
          </a:r>
        </a:p>
        <a:p>
          <a:pPr lvl="0"/>
          <a:r>
            <a:rPr lang="en-US" sz="1100" b="1">
              <a:solidFill>
                <a:schemeClr val="dk1"/>
              </a:solidFill>
              <a:effectLst/>
              <a:latin typeface="+mn-lt"/>
              <a:ea typeface="+mn-ea"/>
              <a:cs typeface="+mn-cs"/>
            </a:rPr>
            <a:t>Table 3. </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Withdrawals by category as a percent of state totals in New Mexico, 2020.  Surface water and groundwater component of each category.</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WSW = withdrawal surface water; WGW = withdrawal groundwater.</a:t>
          </a:r>
        </a:p>
        <a:p>
          <a:pPr lvl="0"/>
          <a:r>
            <a:rPr lang="en-US" sz="1100" b="1">
              <a:solidFill>
                <a:schemeClr val="dk1"/>
              </a:solidFill>
              <a:effectLst/>
              <a:latin typeface="+mn-lt"/>
              <a:ea typeface="+mn-ea"/>
              <a:cs typeface="+mn-cs"/>
            </a:rPr>
            <a:t>Table 4.</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Percent of withdrawals measured in each water use category in New Mexico, 2020.</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MSW = percent of surface water measured; MGW = percent of groundwater measured; MTW = percent of total withdrawals that were measured.</a:t>
          </a:r>
        </a:p>
        <a:p>
          <a:pPr lvl="0"/>
          <a:r>
            <a:rPr lang="en-US" sz="1100" b="1">
              <a:solidFill>
                <a:schemeClr val="dk1"/>
              </a:solidFill>
              <a:effectLst/>
              <a:latin typeface="+mn-lt"/>
              <a:ea typeface="+mn-ea"/>
              <a:cs typeface="+mn-cs"/>
            </a:rPr>
            <a:t>Table 5. </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Summary of withdrawals (acre-feet) in New Mexico counties, 2020.</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CN = county number; WSW = withdrawal surface water; WGW = withdrawal groundwater; TW = total withdrawal.</a:t>
          </a:r>
        </a:p>
        <a:p>
          <a:pPr lvl="0"/>
          <a:r>
            <a:rPr lang="en-US" sz="1100" b="1">
              <a:solidFill>
                <a:schemeClr val="dk1"/>
              </a:solidFill>
              <a:effectLst/>
              <a:latin typeface="+mn-lt"/>
              <a:ea typeface="+mn-ea"/>
              <a:cs typeface="+mn-cs"/>
            </a:rPr>
            <a:t>Table 6.  Summary of withdrawals (acre-feet) in New Mexico river basins, 2020.</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RVB = river basin; WSW = withdrawal surface water; WGW = withdrawal groundwater; TW = total withdrawal.</a:t>
          </a:r>
        </a:p>
        <a:p>
          <a:pPr lvl="0"/>
          <a:r>
            <a:rPr lang="en-US" sz="1100" b="1">
              <a:solidFill>
                <a:schemeClr val="dk1"/>
              </a:solidFill>
              <a:effectLst/>
              <a:latin typeface="+mn-lt"/>
              <a:ea typeface="+mn-ea"/>
              <a:cs typeface="+mn-cs"/>
            </a:rPr>
            <a:t>Table 7</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Public Water Supply and Self-Supplied Domestic in New Mexico counties, 2020. Withdrawals in acre-feet.</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CN = county number; RVB = river basin; POP = population; GPCD = gallons per capita per day; WEC = water exchange code; WWC = water withdrawal code; MSW = measured surface water (Y = yes); MGW = measured groundwater (Y = yes); WSW = withdrawal surface water; WGW = withdrawal groundwater.</a:t>
          </a:r>
        </a:p>
        <a:p>
          <a:pPr lvl="0"/>
          <a:r>
            <a:rPr lang="en-US" sz="1100" b="1">
              <a:solidFill>
                <a:schemeClr val="dk1"/>
              </a:solidFill>
              <a:effectLst/>
              <a:latin typeface="+mn-lt"/>
              <a:ea typeface="+mn-ea"/>
              <a:cs typeface="+mn-cs"/>
            </a:rPr>
            <a:t>Table 8.  Irrigated Agriculture in New Mexico counties, 2020. CIR in feet and withdrawals in acre-feet.</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RVB = river basin; T = type of irrigation system, drip (D), flood (F), or sprinkler (S); CIR = consumptive irrigation requirement; ASWO = acres irrigated with surface water only; AGWO = acres irrigated with groundwater only; ASWC = surface water component of acres irrigated with combined water; AGWC = groundwater component of acres irrigated with combined water; TAI = total acres irrigated; EF = on-farm irrigation efficiency; TFWSW = total farm withdrawal, surface water; EC = off-farm conveyance efficiency; TPWSW = total project withdrawal, surface water; TPWGW = total project withdrawal, groundwater. 1 = some or all withdrawal amounts metered rather than calculated. 2 = shortage supply factor applied.</a:t>
          </a:r>
        </a:p>
        <a:p>
          <a:pPr lvl="0"/>
          <a:r>
            <a:rPr lang="en-US" sz="1100" b="1">
              <a:solidFill>
                <a:schemeClr val="dk1"/>
              </a:solidFill>
              <a:effectLst/>
              <a:latin typeface="+mn-lt"/>
              <a:ea typeface="+mn-ea"/>
              <a:cs typeface="+mn-cs"/>
            </a:rPr>
            <a:t>Table 9.  Acres irrigated by water source and by irrigation method, withdrawals by water source in acre-feet, in New Mexico counties, 2020.</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ASWO = acres irrigated with surface water only; AGWO = acres irrigated with groundwater only; ACW = acres irrigated with combined surface water and groundwater; TDA = total drip irrigated acres; TFA = total flood irrigated acres; TSA = total sprinkler irrigated acres; TAI = total acres irrigated; TPWSW = total project withdrawal, surface water; TPWGW = total project withdrawal, groundwater; TPW = total project withdrawal.</a:t>
          </a:r>
        </a:p>
        <a:p>
          <a:pPr lvl="0"/>
          <a:r>
            <a:rPr lang="en-US" sz="1100" b="1">
              <a:solidFill>
                <a:schemeClr val="dk1"/>
              </a:solidFill>
              <a:effectLst/>
              <a:latin typeface="+mn-lt"/>
              <a:ea typeface="+mn-ea"/>
              <a:cs typeface="+mn-cs"/>
            </a:rPr>
            <a:t>Table 10.</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Acres irrigated by water source and by irrigation method, withdrawals by water source in acre-feet, in New Mexico river basins, 2020.</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RVB = river basin; ASWO = acres irrigated with surface water only; AGWO = acres irrigated with groundwater only; ACW = acres irrigated with combined surface water and groundwater; TDA = total drip irrigated acres; TFA = total flood irrigated acres; TSA = total sprinkler irrigated acres; TAI = total acres irrigated; TPWSW = total project withdrawal, surface water; TPWGW = total project withdrawal, groundwater; TPW = total project withdrawal.</a:t>
          </a:r>
        </a:p>
        <a:p>
          <a:r>
            <a:rPr lang="en-US" sz="1100" b="1">
              <a:solidFill>
                <a:schemeClr val="dk1"/>
              </a:solidFill>
              <a:effectLst/>
              <a:latin typeface="+mn-lt"/>
              <a:ea typeface="+mn-ea"/>
              <a:cs typeface="+mn-cs"/>
            </a:rPr>
            <a:t> </a:t>
          </a:r>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The following tables are not published in the New Mexico Water Use by Categories 2020 report.  </a:t>
          </a:r>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 </a:t>
          </a:r>
          <a:endParaRPr lang="en-US" sz="1100">
            <a:solidFill>
              <a:schemeClr val="dk1"/>
            </a:solidFill>
            <a:effectLst/>
            <a:latin typeface="+mn-lt"/>
            <a:ea typeface="+mn-ea"/>
            <a:cs typeface="+mn-cs"/>
          </a:endParaRPr>
        </a:p>
        <a:p>
          <a:pPr lvl="0"/>
          <a:r>
            <a:rPr lang="en-US" sz="1100" b="1">
              <a:solidFill>
                <a:schemeClr val="dk1"/>
              </a:solidFill>
              <a:effectLst/>
              <a:latin typeface="+mn-lt"/>
              <a:ea typeface="+mn-ea"/>
              <a:cs typeface="+mn-cs"/>
            </a:rPr>
            <a:t>Livestock populations.</a:t>
          </a:r>
          <a:r>
            <a:rPr lang="en-US" sz="1100">
              <a:solidFill>
                <a:schemeClr val="dk1"/>
              </a:solidFill>
              <a:effectLst/>
              <a:latin typeface="+mn-lt"/>
              <a:ea typeface="+mn-ea"/>
              <a:cs typeface="+mn-cs"/>
            </a:rPr>
            <a:t>  (self-supplied water)</a:t>
          </a:r>
        </a:p>
        <a:p>
          <a:pPr lvl="1"/>
          <a:r>
            <a:rPr lang="en-US" sz="1100">
              <a:solidFill>
                <a:schemeClr val="dk1"/>
              </a:solidFill>
              <a:effectLst/>
              <a:latin typeface="+mn-lt"/>
              <a:ea typeface="+mn-ea"/>
              <a:cs typeface="+mn-cs"/>
            </a:rPr>
            <a:t>Livestock Populations by County.</a:t>
          </a:r>
        </a:p>
        <a:p>
          <a:pPr lvl="1"/>
          <a:r>
            <a:rPr lang="en-US" sz="1100">
              <a:solidFill>
                <a:schemeClr val="dk1"/>
              </a:solidFill>
              <a:effectLst/>
              <a:latin typeface="+mn-lt"/>
              <a:ea typeface="+mn-ea"/>
              <a:cs typeface="+mn-cs"/>
            </a:rPr>
            <a:t>Livestock Populations by River Basin.</a:t>
          </a:r>
        </a:p>
        <a:p>
          <a:pPr lvl="1"/>
          <a:r>
            <a:rPr lang="en-US" sz="1100">
              <a:solidFill>
                <a:schemeClr val="dk1"/>
              </a:solidFill>
              <a:effectLst/>
              <a:latin typeface="+mn-lt"/>
              <a:ea typeface="+mn-ea"/>
              <a:cs typeface="+mn-cs"/>
            </a:rPr>
            <a:t>Withdrawals by Livestock Category in acre-feet.</a:t>
          </a:r>
        </a:p>
        <a:p>
          <a:pPr lvl="2"/>
          <a:r>
            <a:rPr lang="en-US" sz="1100">
              <a:solidFill>
                <a:schemeClr val="dk1"/>
              </a:solidFill>
              <a:effectLst/>
              <a:latin typeface="+mn-lt"/>
              <a:ea typeface="+mn-ea"/>
              <a:cs typeface="+mn-cs"/>
            </a:rPr>
            <a:t>WSW = withdrawal surface water; WGW = withdrawal groundwater; TW = total withdrawal.</a:t>
          </a:r>
          <a:endParaRPr lang="en-US" sz="11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Livestock withdrawals.</a:t>
          </a:r>
          <a:r>
            <a:rPr lang="en-US" sz="1100">
              <a:solidFill>
                <a:schemeClr val="dk1"/>
              </a:solidFill>
              <a:effectLst/>
              <a:latin typeface="+mn-lt"/>
              <a:ea typeface="+mn-ea"/>
              <a:cs typeface="+mn-cs"/>
            </a:rPr>
            <a:t>  (self-supplied water)</a:t>
          </a:r>
          <a:endParaRPr lang="en-US">
            <a:effectLst/>
          </a:endParaRPr>
        </a:p>
        <a:p>
          <a:pPr lvl="0"/>
          <a:r>
            <a:rPr lang="en-US" sz="1100" b="1" baseline="0">
              <a:solidFill>
                <a:schemeClr val="dk1"/>
              </a:solidFill>
              <a:effectLst/>
              <a:latin typeface="+mn-lt"/>
              <a:ea typeface="+mn-ea"/>
              <a:cs typeface="+mn-cs"/>
            </a:rPr>
            <a:t>              </a:t>
          </a:r>
          <a:r>
            <a:rPr lang="en-US" sz="1100" b="0" baseline="0">
              <a:solidFill>
                <a:schemeClr val="dk1"/>
              </a:solidFill>
              <a:effectLst/>
              <a:latin typeface="+mn-lt"/>
              <a:ea typeface="+mn-ea"/>
              <a:cs typeface="+mn-cs"/>
            </a:rPr>
            <a:t>Livestock withdrawals by County in acre-feet.</a:t>
          </a:r>
        </a:p>
        <a:p>
          <a:pPr lvl="0"/>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RVB = river basin; POP = population; GPCD = gallons per capita per day; WSW = withdrawal, 	surface water; WGW = withdrawal, groundwater; Total = total withdrawal.</a:t>
          </a:r>
          <a:endParaRPr lang="en-US" sz="1100" b="1">
            <a:solidFill>
              <a:schemeClr val="dk1"/>
            </a:solidFill>
            <a:effectLst/>
            <a:latin typeface="+mn-lt"/>
            <a:ea typeface="+mn-ea"/>
            <a:cs typeface="+mn-cs"/>
          </a:endParaRPr>
        </a:p>
        <a:p>
          <a:pPr lvl="0"/>
          <a:r>
            <a:rPr lang="en-US" sz="1100" b="1">
              <a:solidFill>
                <a:schemeClr val="dk1"/>
              </a:solidFill>
              <a:effectLst/>
              <a:latin typeface="+mn-lt"/>
              <a:ea typeface="+mn-ea"/>
              <a:cs typeface="+mn-cs"/>
            </a:rPr>
            <a:t>Power.  </a:t>
          </a:r>
          <a:r>
            <a:rPr lang="en-US" sz="1100">
              <a:solidFill>
                <a:schemeClr val="dk1"/>
              </a:solidFill>
              <a:effectLst/>
              <a:latin typeface="+mn-lt"/>
              <a:ea typeface="+mn-ea"/>
              <a:cs typeface="+mn-cs"/>
            </a:rPr>
            <a:t>(self-supplied water)</a:t>
          </a:r>
        </a:p>
        <a:p>
          <a:pPr lvl="1"/>
          <a:r>
            <a:rPr lang="en-US" sz="1100">
              <a:solidFill>
                <a:schemeClr val="dk1"/>
              </a:solidFill>
              <a:effectLst/>
              <a:latin typeface="+mn-lt"/>
              <a:ea typeface="+mn-ea"/>
              <a:cs typeface="+mn-cs"/>
            </a:rPr>
            <a:t>TWN = township; RNG = range; SEC = section; WSW = withdrawal surface water; WGW = withdrawal groundwater.</a:t>
          </a:r>
        </a:p>
        <a:p>
          <a:pPr lvl="0"/>
          <a:r>
            <a:rPr lang="en-US" sz="1100" b="1">
              <a:solidFill>
                <a:schemeClr val="dk1"/>
              </a:solidFill>
              <a:effectLst/>
              <a:latin typeface="+mn-lt"/>
              <a:ea typeface="+mn-ea"/>
              <a:cs typeface="+mn-cs"/>
            </a:rPr>
            <a:t>Reservoirs.</a:t>
          </a:r>
          <a:r>
            <a:rPr lang="en-US" sz="1100">
              <a:solidFill>
                <a:schemeClr val="dk1"/>
              </a:solidFill>
              <a:effectLst/>
              <a:latin typeface="+mn-lt"/>
              <a:ea typeface="+mn-ea"/>
              <a:cs typeface="+mn-cs"/>
            </a:rPr>
            <a:t>  </a:t>
          </a:r>
        </a:p>
        <a:p>
          <a:pPr lvl="1"/>
          <a:r>
            <a:rPr lang="en-US" sz="1100">
              <a:solidFill>
                <a:schemeClr val="dk1"/>
              </a:solidFill>
              <a:effectLst/>
              <a:latin typeface="+mn-lt"/>
              <a:ea typeface="+mn-ea"/>
              <a:cs typeface="+mn-cs"/>
            </a:rPr>
            <a:t>Net evaporation at individual reservoirs in acre-feet.</a:t>
          </a:r>
        </a:p>
        <a:p>
          <a:pPr lvl="0"/>
          <a:r>
            <a:rPr lang="en-US" sz="1100" b="1">
              <a:solidFill>
                <a:schemeClr val="dk1"/>
              </a:solidFill>
              <a:effectLst/>
              <a:latin typeface="+mn-lt"/>
              <a:ea typeface="+mn-ea"/>
              <a:cs typeface="+mn-cs"/>
            </a:rPr>
            <a:t>Crop Types.</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Crop types and acres used in Blaney-Criddle evapotranspiration calculations, listed by county and state.</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 </a:t>
          </a:r>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 </a:t>
          </a:r>
          <a:endParaRPr lang="en-US" sz="1100">
            <a:solidFill>
              <a:schemeClr val="dk1"/>
            </a:solidFill>
            <a:effectLst/>
            <a:latin typeface="+mn-lt"/>
            <a:ea typeface="+mn-ea"/>
            <a:cs typeface="+mn-cs"/>
          </a:endParaRPr>
        </a:p>
        <a:p>
          <a:endParaRPr lang="en-US" sz="1100" kern="12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419100</xdr:colOff>
      <xdr:row>41</xdr:row>
      <xdr:rowOff>95250</xdr:rowOff>
    </xdr:from>
    <xdr:ext cx="184731" cy="264560"/>
    <xdr:sp macro="" textlink="">
      <xdr:nvSpPr>
        <xdr:cNvPr id="2" name="TextBox 1">
          <a:extLst>
            <a:ext uri="{FF2B5EF4-FFF2-40B4-BE49-F238E27FC236}">
              <a16:creationId xmlns:a16="http://schemas.microsoft.com/office/drawing/2014/main" id="{54680A19-6D7B-D480-9557-6F2810F83E83}"/>
            </a:ext>
          </a:extLst>
        </xdr:cNvPr>
        <xdr:cNvSpPr txBox="1"/>
      </xdr:nvSpPr>
      <xdr:spPr>
        <a:xfrm>
          <a:off x="876300" y="7905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kern="1200"/>
        </a:p>
      </xdr:txBody>
    </xdr:sp>
    <xdr:clientData/>
  </xdr:oneCellAnchor>
  <xdr:twoCellAnchor>
    <xdr:from>
      <xdr:col>2</xdr:col>
      <xdr:colOff>123824</xdr:colOff>
      <xdr:row>39</xdr:row>
      <xdr:rowOff>66675</xdr:rowOff>
    </xdr:from>
    <xdr:to>
      <xdr:col>7</xdr:col>
      <xdr:colOff>38099</xdr:colOff>
      <xdr:row>58</xdr:row>
      <xdr:rowOff>171451</xdr:rowOff>
    </xdr:to>
    <xdr:sp macro="" textlink="">
      <xdr:nvSpPr>
        <xdr:cNvPr id="3" name="TextBox 2">
          <a:extLst>
            <a:ext uri="{FF2B5EF4-FFF2-40B4-BE49-F238E27FC236}">
              <a16:creationId xmlns:a16="http://schemas.microsoft.com/office/drawing/2014/main" id="{FE38649B-35D0-EEBF-A846-D7CF9DC33E00}"/>
            </a:ext>
          </a:extLst>
        </xdr:cNvPr>
        <xdr:cNvSpPr txBox="1"/>
      </xdr:nvSpPr>
      <xdr:spPr>
        <a:xfrm>
          <a:off x="2009774" y="7496175"/>
          <a:ext cx="3533775" cy="3724276"/>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Triticale entered with wheat.</a:t>
          </a:r>
          <a:endParaRPr lang="en-US">
            <a:effectLst/>
          </a:endParaRPr>
        </a:p>
        <a:p>
          <a:r>
            <a:rPr lang="en-US" sz="1100">
              <a:solidFill>
                <a:schemeClr val="dk1"/>
              </a:solidFill>
              <a:effectLst/>
              <a:latin typeface="+mn-lt"/>
              <a:ea typeface="+mn-ea"/>
              <a:cs typeface="+mn-cs"/>
            </a:rPr>
            <a:t>Oats entered as misc spr small</a:t>
          </a:r>
          <a:r>
            <a:rPr lang="en-US" sz="1100" baseline="0">
              <a:solidFill>
                <a:schemeClr val="dk1"/>
              </a:solidFill>
              <a:effectLst/>
              <a:latin typeface="+mn-lt"/>
              <a:ea typeface="+mn-ea"/>
              <a:cs typeface="+mn-cs"/>
            </a:rPr>
            <a:t> grains.</a:t>
          </a:r>
          <a:endParaRPr lang="en-US">
            <a:effectLst/>
          </a:endParaRPr>
        </a:p>
        <a:p>
          <a:r>
            <a:rPr lang="en-US" sz="1100" baseline="0">
              <a:solidFill>
                <a:schemeClr val="dk1"/>
              </a:solidFill>
              <a:effectLst/>
              <a:latin typeface="+mn-lt"/>
              <a:ea typeface="+mn-ea"/>
              <a:cs typeface="+mn-cs"/>
            </a:rPr>
            <a:t>Millet entered with hay or sorghum.</a:t>
          </a:r>
          <a:endParaRPr lang="en-US">
            <a:effectLst/>
          </a:endParaRPr>
        </a:p>
        <a:p>
          <a:r>
            <a:rPr lang="en-US" sz="1100" baseline="0">
              <a:solidFill>
                <a:schemeClr val="dk1"/>
              </a:solidFill>
              <a:effectLst/>
              <a:latin typeface="+mn-lt"/>
              <a:ea typeface="+mn-ea"/>
              <a:cs typeface="+mn-cs"/>
            </a:rPr>
            <a:t>Hemp entered with corn.</a:t>
          </a:r>
          <a:endParaRPr lang="en-US">
            <a:effectLst/>
          </a:endParaRPr>
        </a:p>
        <a:p>
          <a:r>
            <a:rPr lang="en-US" sz="1100" baseline="0">
              <a:solidFill>
                <a:schemeClr val="dk1"/>
              </a:solidFill>
              <a:effectLst/>
              <a:latin typeface="+mn-lt"/>
              <a:ea typeface="+mn-ea"/>
              <a:cs typeface="+mn-cs"/>
            </a:rPr>
            <a:t>Almonds entered as pistachio orchards.</a:t>
          </a:r>
          <a:endParaRPr lang="en-US">
            <a:effectLst/>
          </a:endParaRPr>
        </a:p>
        <a:p>
          <a:r>
            <a:rPr lang="en-US" sz="1100" baseline="0">
              <a:solidFill>
                <a:schemeClr val="dk1"/>
              </a:solidFill>
              <a:effectLst/>
              <a:latin typeface="+mn-lt"/>
              <a:ea typeface="+mn-ea"/>
              <a:cs typeface="+mn-cs"/>
            </a:rPr>
            <a:t>Peppers entered as chile.</a:t>
          </a:r>
          <a:endParaRPr lang="en-US">
            <a:effectLst/>
          </a:endParaRPr>
        </a:p>
        <a:p>
          <a:r>
            <a:rPr lang="en-US" sz="1100" baseline="0">
              <a:solidFill>
                <a:schemeClr val="dk1"/>
              </a:solidFill>
              <a:effectLst/>
              <a:latin typeface="+mn-lt"/>
              <a:ea typeface="+mn-ea"/>
              <a:cs typeface="+mn-cs"/>
            </a:rPr>
            <a:t>Pumpkins entered with melons or misc vegetables.</a:t>
          </a:r>
          <a:endParaRPr lang="en-US">
            <a:effectLst/>
          </a:endParaRPr>
        </a:p>
        <a:p>
          <a:r>
            <a:rPr lang="en-US" sz="1100">
              <a:solidFill>
                <a:schemeClr val="dk1"/>
              </a:solidFill>
              <a:effectLst/>
              <a:latin typeface="+mn-lt"/>
              <a:ea typeface="+mn-ea"/>
              <a:cs typeface="+mn-cs"/>
            </a:rPr>
            <a:t>Cabbage entered with lettuce.</a:t>
          </a:r>
          <a:endParaRPr lang="en-US">
            <a:effectLst/>
          </a:endParaRPr>
        </a:p>
        <a:p>
          <a:r>
            <a:rPr lang="en-US" sz="1100">
              <a:solidFill>
                <a:schemeClr val="dk1"/>
              </a:solidFill>
              <a:effectLst/>
              <a:latin typeface="+mn-lt"/>
              <a:ea typeface="+mn-ea"/>
              <a:cs typeface="+mn-cs"/>
            </a:rPr>
            <a:t>Silage entered as sorghum silage.</a:t>
          </a:r>
          <a:endParaRPr lang="en-US">
            <a:effectLst/>
          </a:endParaRPr>
        </a:p>
        <a:p>
          <a:r>
            <a:rPr lang="en-US" sz="1100">
              <a:solidFill>
                <a:schemeClr val="dk1"/>
              </a:solidFill>
              <a:effectLst/>
              <a:latin typeface="+mn-lt"/>
              <a:ea typeface="+mn-ea"/>
              <a:cs typeface="+mn-cs"/>
            </a:rPr>
            <a:t>Other nuts entered as pistachio orchards.</a:t>
          </a:r>
          <a:endParaRPr lang="en-US">
            <a:effectLst/>
          </a:endParaRPr>
        </a:p>
        <a:p>
          <a:r>
            <a:rPr lang="en-US" sz="1100">
              <a:solidFill>
                <a:schemeClr val="dk1"/>
              </a:solidFill>
              <a:effectLst/>
              <a:latin typeface="+mn-lt"/>
              <a:ea typeface="+mn-ea"/>
              <a:cs typeface="+mn-cs"/>
            </a:rPr>
            <a:t>Teff entered with wheat.</a:t>
          </a:r>
          <a:endParaRPr lang="en-US">
            <a:effectLst/>
          </a:endParaRPr>
        </a:p>
        <a:p>
          <a:r>
            <a:rPr lang="en-US" sz="1100">
              <a:solidFill>
                <a:schemeClr val="dk1"/>
              </a:solidFill>
              <a:effectLst/>
              <a:latin typeface="+mn-lt"/>
              <a:ea typeface="+mn-ea"/>
              <a:cs typeface="+mn-cs"/>
            </a:rPr>
            <a:t>Sudan grass entered</a:t>
          </a:r>
          <a:r>
            <a:rPr lang="en-US" sz="1100" baseline="0">
              <a:solidFill>
                <a:schemeClr val="dk1"/>
              </a:solidFill>
              <a:effectLst/>
              <a:latin typeface="+mn-lt"/>
              <a:ea typeface="+mn-ea"/>
              <a:cs typeface="+mn-cs"/>
            </a:rPr>
            <a:t> with sorghum.</a:t>
          </a:r>
          <a:endParaRPr lang="en-US">
            <a:effectLst/>
          </a:endParaRPr>
        </a:p>
        <a:p>
          <a:r>
            <a:rPr lang="en-US" sz="1100">
              <a:solidFill>
                <a:schemeClr val="dk1"/>
              </a:solidFill>
              <a:effectLst/>
              <a:latin typeface="+mn-lt"/>
              <a:ea typeface="+mn-ea"/>
              <a:cs typeface="+mn-cs"/>
            </a:rPr>
            <a:t>Carrots and herbs entered as misc vegetables.</a:t>
          </a:r>
          <a:endParaRPr lang="en-US">
            <a:effectLst/>
          </a:endParaRPr>
        </a:p>
        <a:p>
          <a:r>
            <a:rPr lang="en-US" sz="1100">
              <a:solidFill>
                <a:schemeClr val="dk1"/>
              </a:solidFill>
              <a:effectLst/>
              <a:latin typeface="+mn-lt"/>
              <a:ea typeface="+mn-ea"/>
              <a:cs typeface="+mn-cs"/>
            </a:rPr>
            <a:t>Mixed forage and cover crop entered as improved pasture.</a:t>
          </a:r>
          <a:endParaRPr lang="en-US">
            <a:effectLst/>
          </a:endParaRPr>
        </a:p>
        <a:p>
          <a:r>
            <a:rPr lang="en-US" sz="1100">
              <a:solidFill>
                <a:schemeClr val="dk1"/>
              </a:solidFill>
              <a:effectLst/>
              <a:latin typeface="+mn-lt"/>
              <a:ea typeface="+mn-ea"/>
              <a:cs typeface="+mn-cs"/>
            </a:rPr>
            <a:t>Christmas trees entered as nursery stock.</a:t>
          </a:r>
          <a:endParaRPr lang="en-US">
            <a:effectLst/>
          </a:endParaRPr>
        </a:p>
        <a:p>
          <a:r>
            <a:rPr lang="en-US" sz="1100">
              <a:solidFill>
                <a:schemeClr val="dk1"/>
              </a:solidFill>
              <a:effectLst/>
              <a:latin typeface="+mn-lt"/>
              <a:ea typeface="+mn-ea"/>
              <a:cs typeface="+mn-cs"/>
            </a:rPr>
            <a:t>Peas entered as misc vegetables.</a:t>
          </a:r>
          <a:endParaRPr lang="en-US">
            <a:effectLst/>
          </a:endParaRPr>
        </a:p>
        <a:p>
          <a:r>
            <a:rPr lang="en-US" sz="1100">
              <a:solidFill>
                <a:schemeClr val="dk1"/>
              </a:solidFill>
              <a:effectLst/>
              <a:latin typeface="+mn-lt"/>
              <a:ea typeface="+mn-ea"/>
              <a:cs typeface="+mn-cs"/>
            </a:rPr>
            <a:t>Garden entered as misc vegetables.</a:t>
          </a:r>
          <a:endParaRPr lang="en-US">
            <a:effectLst/>
          </a:endParaRPr>
        </a:p>
        <a:p>
          <a:r>
            <a:rPr lang="en-US" sz="1100">
              <a:solidFill>
                <a:schemeClr val="dk1"/>
              </a:solidFill>
              <a:effectLst/>
              <a:latin typeface="+mn-lt"/>
              <a:ea typeface="+mn-ea"/>
              <a:cs typeface="+mn-cs"/>
            </a:rPr>
            <a:t>Yard entered as sod.</a:t>
          </a:r>
          <a:endParaRPr lang="en-US">
            <a:effectLst/>
          </a:endParaRPr>
        </a:p>
        <a:p>
          <a:r>
            <a:rPr lang="en-US" sz="1100">
              <a:solidFill>
                <a:schemeClr val="dk1"/>
              </a:solidFill>
              <a:effectLst/>
              <a:latin typeface="+mn-lt"/>
              <a:ea typeface="+mn-ea"/>
              <a:cs typeface="+mn-cs"/>
            </a:rPr>
            <a:t>Haygrazer entered with sorghum.</a:t>
          </a:r>
          <a:endParaRPr lang="en-US">
            <a:effectLst/>
          </a:endParaRPr>
        </a:p>
        <a:p>
          <a:r>
            <a:rPr lang="en-US" sz="1100">
              <a:solidFill>
                <a:schemeClr val="dk1"/>
              </a:solidFill>
              <a:effectLst/>
              <a:latin typeface="+mn-lt"/>
              <a:ea typeface="+mn-ea"/>
              <a:cs typeface="+mn-cs"/>
            </a:rPr>
            <a:t>Grass entered as native pasture.</a:t>
          </a:r>
          <a:endParaRPr lang="en-US">
            <a:effectLst/>
          </a:endParaRPr>
        </a:p>
        <a:p>
          <a:endParaRPr lang="en-US" sz="1100" kern="1200"/>
        </a:p>
      </xdr:txBody>
    </xdr:sp>
    <xdr:clientData/>
  </xdr:twoCellAnchor>
  <xdr:twoCellAnchor>
    <xdr:from>
      <xdr:col>36</xdr:col>
      <xdr:colOff>66675</xdr:colOff>
      <xdr:row>5</xdr:row>
      <xdr:rowOff>57151</xdr:rowOff>
    </xdr:from>
    <xdr:to>
      <xdr:col>41</xdr:col>
      <xdr:colOff>561975</xdr:colOff>
      <xdr:row>24</xdr:row>
      <xdr:rowOff>76201</xdr:rowOff>
    </xdr:to>
    <xdr:sp macro="" textlink="">
      <xdr:nvSpPr>
        <xdr:cNvPr id="4" name="TextBox 3">
          <a:extLst>
            <a:ext uri="{FF2B5EF4-FFF2-40B4-BE49-F238E27FC236}">
              <a16:creationId xmlns:a16="http://schemas.microsoft.com/office/drawing/2014/main" id="{2C793E34-AA34-6CD5-568D-53911E79CE7A}"/>
            </a:ext>
          </a:extLst>
        </xdr:cNvPr>
        <xdr:cNvSpPr txBox="1"/>
      </xdr:nvSpPr>
      <xdr:spPr>
        <a:xfrm>
          <a:off x="26450925" y="1009651"/>
          <a:ext cx="3543300" cy="363855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Triticale entered with wheat.</a:t>
          </a:r>
          <a:endParaRPr lang="en-US">
            <a:effectLst/>
          </a:endParaRPr>
        </a:p>
        <a:p>
          <a:r>
            <a:rPr lang="en-US" sz="1100">
              <a:solidFill>
                <a:schemeClr val="dk1"/>
              </a:solidFill>
              <a:effectLst/>
              <a:latin typeface="+mn-lt"/>
              <a:ea typeface="+mn-ea"/>
              <a:cs typeface="+mn-cs"/>
            </a:rPr>
            <a:t>Oats entered as misc spr small</a:t>
          </a:r>
          <a:r>
            <a:rPr lang="en-US" sz="1100" baseline="0">
              <a:solidFill>
                <a:schemeClr val="dk1"/>
              </a:solidFill>
              <a:effectLst/>
              <a:latin typeface="+mn-lt"/>
              <a:ea typeface="+mn-ea"/>
              <a:cs typeface="+mn-cs"/>
            </a:rPr>
            <a:t> grains.</a:t>
          </a:r>
          <a:endParaRPr lang="en-US">
            <a:effectLst/>
          </a:endParaRPr>
        </a:p>
        <a:p>
          <a:r>
            <a:rPr lang="en-US" sz="1100" baseline="0">
              <a:solidFill>
                <a:schemeClr val="dk1"/>
              </a:solidFill>
              <a:effectLst/>
              <a:latin typeface="+mn-lt"/>
              <a:ea typeface="+mn-ea"/>
              <a:cs typeface="+mn-cs"/>
            </a:rPr>
            <a:t>Millet entered with hay or sorghum.</a:t>
          </a:r>
          <a:endParaRPr lang="en-US">
            <a:effectLst/>
          </a:endParaRPr>
        </a:p>
        <a:p>
          <a:r>
            <a:rPr lang="en-US" sz="1100" baseline="0">
              <a:solidFill>
                <a:schemeClr val="dk1"/>
              </a:solidFill>
              <a:effectLst/>
              <a:latin typeface="+mn-lt"/>
              <a:ea typeface="+mn-ea"/>
              <a:cs typeface="+mn-cs"/>
            </a:rPr>
            <a:t>Hemp entered with corn.</a:t>
          </a:r>
          <a:endParaRPr lang="en-US">
            <a:effectLst/>
          </a:endParaRPr>
        </a:p>
        <a:p>
          <a:r>
            <a:rPr lang="en-US" sz="1100" baseline="0">
              <a:solidFill>
                <a:schemeClr val="dk1"/>
              </a:solidFill>
              <a:effectLst/>
              <a:latin typeface="+mn-lt"/>
              <a:ea typeface="+mn-ea"/>
              <a:cs typeface="+mn-cs"/>
            </a:rPr>
            <a:t>Almonds entered as pistachio orchards.</a:t>
          </a:r>
          <a:endParaRPr lang="en-US">
            <a:effectLst/>
          </a:endParaRPr>
        </a:p>
        <a:p>
          <a:r>
            <a:rPr lang="en-US" sz="1100" baseline="0">
              <a:solidFill>
                <a:schemeClr val="dk1"/>
              </a:solidFill>
              <a:effectLst/>
              <a:latin typeface="+mn-lt"/>
              <a:ea typeface="+mn-ea"/>
              <a:cs typeface="+mn-cs"/>
            </a:rPr>
            <a:t>Peppers entered as chile.</a:t>
          </a:r>
          <a:endParaRPr lang="en-US">
            <a:effectLst/>
          </a:endParaRPr>
        </a:p>
        <a:p>
          <a:r>
            <a:rPr lang="en-US" sz="1100" baseline="0">
              <a:solidFill>
                <a:schemeClr val="dk1"/>
              </a:solidFill>
              <a:effectLst/>
              <a:latin typeface="+mn-lt"/>
              <a:ea typeface="+mn-ea"/>
              <a:cs typeface="+mn-cs"/>
            </a:rPr>
            <a:t>Pumpkins entered with melons or misc vegetables.</a:t>
          </a:r>
          <a:endParaRPr lang="en-US">
            <a:effectLst/>
          </a:endParaRPr>
        </a:p>
        <a:p>
          <a:r>
            <a:rPr lang="en-US" sz="1100">
              <a:solidFill>
                <a:schemeClr val="dk1"/>
              </a:solidFill>
              <a:effectLst/>
              <a:latin typeface="+mn-lt"/>
              <a:ea typeface="+mn-ea"/>
              <a:cs typeface="+mn-cs"/>
            </a:rPr>
            <a:t>Cabbage entered with lettuce.</a:t>
          </a:r>
          <a:endParaRPr lang="en-US">
            <a:effectLst/>
          </a:endParaRPr>
        </a:p>
        <a:p>
          <a:r>
            <a:rPr lang="en-US" sz="1100">
              <a:solidFill>
                <a:schemeClr val="dk1"/>
              </a:solidFill>
              <a:effectLst/>
              <a:latin typeface="+mn-lt"/>
              <a:ea typeface="+mn-ea"/>
              <a:cs typeface="+mn-cs"/>
            </a:rPr>
            <a:t>Silage entered as sorghum silage.</a:t>
          </a:r>
          <a:endParaRPr lang="en-US">
            <a:effectLst/>
          </a:endParaRPr>
        </a:p>
        <a:p>
          <a:r>
            <a:rPr lang="en-US" sz="1100">
              <a:solidFill>
                <a:schemeClr val="dk1"/>
              </a:solidFill>
              <a:effectLst/>
              <a:latin typeface="+mn-lt"/>
              <a:ea typeface="+mn-ea"/>
              <a:cs typeface="+mn-cs"/>
            </a:rPr>
            <a:t>Other nuts entered as pistachio orchards.</a:t>
          </a:r>
          <a:endParaRPr lang="en-US">
            <a:effectLst/>
          </a:endParaRPr>
        </a:p>
        <a:p>
          <a:r>
            <a:rPr lang="en-US" sz="1100">
              <a:solidFill>
                <a:schemeClr val="dk1"/>
              </a:solidFill>
              <a:effectLst/>
              <a:latin typeface="+mn-lt"/>
              <a:ea typeface="+mn-ea"/>
              <a:cs typeface="+mn-cs"/>
            </a:rPr>
            <a:t>Teff entered with wheat.</a:t>
          </a:r>
          <a:endParaRPr lang="en-US">
            <a:effectLst/>
          </a:endParaRPr>
        </a:p>
        <a:p>
          <a:r>
            <a:rPr lang="en-US" sz="1100">
              <a:solidFill>
                <a:schemeClr val="dk1"/>
              </a:solidFill>
              <a:effectLst/>
              <a:latin typeface="+mn-lt"/>
              <a:ea typeface="+mn-ea"/>
              <a:cs typeface="+mn-cs"/>
            </a:rPr>
            <a:t>Sudan grass entered</a:t>
          </a:r>
          <a:r>
            <a:rPr lang="en-US" sz="1100" baseline="0">
              <a:solidFill>
                <a:schemeClr val="dk1"/>
              </a:solidFill>
              <a:effectLst/>
              <a:latin typeface="+mn-lt"/>
              <a:ea typeface="+mn-ea"/>
              <a:cs typeface="+mn-cs"/>
            </a:rPr>
            <a:t> with sorghum.</a:t>
          </a:r>
          <a:endParaRPr lang="en-US">
            <a:effectLst/>
          </a:endParaRPr>
        </a:p>
        <a:p>
          <a:r>
            <a:rPr lang="en-US" sz="1100">
              <a:solidFill>
                <a:schemeClr val="dk1"/>
              </a:solidFill>
              <a:effectLst/>
              <a:latin typeface="+mn-lt"/>
              <a:ea typeface="+mn-ea"/>
              <a:cs typeface="+mn-cs"/>
            </a:rPr>
            <a:t>Carrots and herbs entered as misc vegetables.</a:t>
          </a:r>
          <a:endParaRPr lang="en-US">
            <a:effectLst/>
          </a:endParaRPr>
        </a:p>
        <a:p>
          <a:r>
            <a:rPr lang="en-US" sz="1100">
              <a:solidFill>
                <a:schemeClr val="dk1"/>
              </a:solidFill>
              <a:effectLst/>
              <a:latin typeface="+mn-lt"/>
              <a:ea typeface="+mn-ea"/>
              <a:cs typeface="+mn-cs"/>
            </a:rPr>
            <a:t>Mixed forage and cover crop entered as improved pasture.</a:t>
          </a:r>
          <a:endParaRPr lang="en-US">
            <a:effectLst/>
          </a:endParaRPr>
        </a:p>
        <a:p>
          <a:r>
            <a:rPr lang="en-US" sz="1100">
              <a:solidFill>
                <a:schemeClr val="dk1"/>
              </a:solidFill>
              <a:effectLst/>
              <a:latin typeface="+mn-lt"/>
              <a:ea typeface="+mn-ea"/>
              <a:cs typeface="+mn-cs"/>
            </a:rPr>
            <a:t>Christmas trees entered as nursery stock.</a:t>
          </a:r>
          <a:endParaRPr lang="en-US">
            <a:effectLst/>
          </a:endParaRPr>
        </a:p>
        <a:p>
          <a:r>
            <a:rPr lang="en-US" sz="1100">
              <a:solidFill>
                <a:schemeClr val="dk1"/>
              </a:solidFill>
              <a:effectLst/>
              <a:latin typeface="+mn-lt"/>
              <a:ea typeface="+mn-ea"/>
              <a:cs typeface="+mn-cs"/>
            </a:rPr>
            <a:t>Peas entered as misc vegetables.</a:t>
          </a:r>
          <a:endParaRPr lang="en-US">
            <a:effectLst/>
          </a:endParaRPr>
        </a:p>
        <a:p>
          <a:r>
            <a:rPr lang="en-US" sz="1100">
              <a:solidFill>
                <a:schemeClr val="dk1"/>
              </a:solidFill>
              <a:effectLst/>
              <a:latin typeface="+mn-lt"/>
              <a:ea typeface="+mn-ea"/>
              <a:cs typeface="+mn-cs"/>
            </a:rPr>
            <a:t>Garden entered as misc vegetables.</a:t>
          </a:r>
          <a:endParaRPr lang="en-US">
            <a:effectLst/>
          </a:endParaRPr>
        </a:p>
        <a:p>
          <a:r>
            <a:rPr lang="en-US" sz="1100">
              <a:solidFill>
                <a:schemeClr val="dk1"/>
              </a:solidFill>
              <a:effectLst/>
              <a:latin typeface="+mn-lt"/>
              <a:ea typeface="+mn-ea"/>
              <a:cs typeface="+mn-cs"/>
            </a:rPr>
            <a:t>Yard entered as sod.</a:t>
          </a:r>
          <a:endParaRPr lang="en-US">
            <a:effectLst/>
          </a:endParaRPr>
        </a:p>
        <a:p>
          <a:r>
            <a:rPr lang="en-US" sz="1100">
              <a:solidFill>
                <a:schemeClr val="dk1"/>
              </a:solidFill>
              <a:effectLst/>
              <a:latin typeface="+mn-lt"/>
              <a:ea typeface="+mn-ea"/>
              <a:cs typeface="+mn-cs"/>
            </a:rPr>
            <a:t>Haygrazer entered with sorghum.</a:t>
          </a:r>
          <a:endParaRPr lang="en-US">
            <a:effectLst/>
          </a:endParaRPr>
        </a:p>
        <a:p>
          <a:r>
            <a:rPr lang="en-US" sz="1100">
              <a:solidFill>
                <a:schemeClr val="dk1"/>
              </a:solidFill>
              <a:effectLst/>
              <a:latin typeface="+mn-lt"/>
              <a:ea typeface="+mn-ea"/>
              <a:cs typeface="+mn-cs"/>
            </a:rPr>
            <a:t>Grass entered as native pasture.</a:t>
          </a:r>
          <a:endParaRPr lang="en-US">
            <a:effectLst/>
          </a:endParaRPr>
        </a:p>
        <a:p>
          <a:endParaRPr lang="en-US" sz="1100" kern="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E90BA-CA93-427A-95D6-6A8A84FB522A}">
  <dimension ref="A1"/>
  <sheetViews>
    <sheetView tabSelected="1" workbookViewId="0"/>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30"/>
  <sheetViews>
    <sheetView workbookViewId="0"/>
  </sheetViews>
  <sheetFormatPr defaultRowHeight="15" x14ac:dyDescent="0.25"/>
  <cols>
    <col min="2" max="2" width="21.7109375" customWidth="1"/>
    <col min="3" max="3" width="24.7109375" customWidth="1"/>
    <col min="4" max="4" width="12.5703125" customWidth="1"/>
    <col min="5" max="5" width="13.85546875" customWidth="1"/>
  </cols>
  <sheetData>
    <row r="2" spans="2:8" ht="15.75" thickBot="1" x14ac:dyDescent="0.3">
      <c r="B2" s="2" t="s">
        <v>0</v>
      </c>
      <c r="C2" s="3"/>
      <c r="D2" s="3"/>
      <c r="E2" s="3"/>
    </row>
    <row r="3" spans="2:8" ht="15.75" thickBot="1" x14ac:dyDescent="0.3">
      <c r="B3" s="4" t="s">
        <v>1</v>
      </c>
      <c r="C3" s="4" t="s">
        <v>2</v>
      </c>
      <c r="D3" s="5" t="s">
        <v>3</v>
      </c>
      <c r="E3" s="5" t="s">
        <v>4</v>
      </c>
    </row>
    <row r="4" spans="2:8" x14ac:dyDescent="0.25">
      <c r="B4" t="s">
        <v>5</v>
      </c>
      <c r="C4" t="s">
        <v>7</v>
      </c>
      <c r="D4" s="6">
        <v>27418</v>
      </c>
      <c r="E4" s="8">
        <v>1.2948153549290161E-2</v>
      </c>
      <c r="G4" s="8"/>
      <c r="H4" s="8"/>
    </row>
    <row r="5" spans="2:8" x14ac:dyDescent="0.25">
      <c r="B5" t="s">
        <v>5</v>
      </c>
      <c r="C5" t="s">
        <v>16</v>
      </c>
      <c r="D5" s="6">
        <v>4089</v>
      </c>
      <c r="E5" s="8">
        <v>1.9310307047577309E-3</v>
      </c>
      <c r="G5" s="8"/>
      <c r="H5" s="8"/>
    </row>
    <row r="6" spans="2:8" x14ac:dyDescent="0.25">
      <c r="C6" s="1" t="s">
        <v>8</v>
      </c>
      <c r="D6" s="6">
        <v>31507</v>
      </c>
      <c r="E6" s="8">
        <v>1.4879184254047892E-2</v>
      </c>
      <c r="G6" s="8"/>
    </row>
    <row r="7" spans="2:8" x14ac:dyDescent="0.25">
      <c r="D7" s="6"/>
      <c r="E7" s="8"/>
      <c r="G7" s="8"/>
    </row>
    <row r="8" spans="2:8" x14ac:dyDescent="0.25">
      <c r="B8" t="s">
        <v>9</v>
      </c>
      <c r="C8" t="s">
        <v>7</v>
      </c>
      <c r="D8" s="6">
        <v>29693</v>
      </c>
      <c r="E8" s="8">
        <v>1.4022522552304061E-2</v>
      </c>
      <c r="G8" s="8"/>
      <c r="H8" s="8"/>
    </row>
    <row r="9" spans="2:8" x14ac:dyDescent="0.25">
      <c r="B9" t="s">
        <v>9</v>
      </c>
      <c r="C9" t="s">
        <v>16</v>
      </c>
      <c r="D9" s="6">
        <v>35844</v>
      </c>
      <c r="E9" s="8">
        <v>1.692733298638692E-2</v>
      </c>
      <c r="G9" s="8"/>
      <c r="H9" s="8"/>
    </row>
    <row r="10" spans="2:8" x14ac:dyDescent="0.25">
      <c r="C10" s="1" t="s">
        <v>8</v>
      </c>
      <c r="D10" s="6">
        <v>65537</v>
      </c>
      <c r="E10" s="8">
        <v>3.0949855538690979E-2</v>
      </c>
      <c r="G10" s="8"/>
    </row>
    <row r="11" spans="2:8" x14ac:dyDescent="0.25">
      <c r="D11" s="6"/>
      <c r="E11" s="8"/>
      <c r="G11" s="8"/>
    </row>
    <row r="12" spans="2:8" x14ac:dyDescent="0.25">
      <c r="B12" t="s">
        <v>10</v>
      </c>
      <c r="C12" t="s">
        <v>7</v>
      </c>
      <c r="D12" s="6">
        <v>170661</v>
      </c>
      <c r="E12" s="8">
        <v>8.059467623004625E-2</v>
      </c>
      <c r="G12" s="8"/>
      <c r="H12" s="8"/>
    </row>
    <row r="13" spans="2:8" x14ac:dyDescent="0.25">
      <c r="B13" t="s">
        <v>10</v>
      </c>
      <c r="C13" t="s">
        <v>16</v>
      </c>
      <c r="D13" s="6">
        <v>23343</v>
      </c>
      <c r="E13" s="8">
        <v>1.1023734346089439E-2</v>
      </c>
      <c r="G13" s="8"/>
      <c r="H13" s="8"/>
    </row>
    <row r="14" spans="2:8" x14ac:dyDescent="0.25">
      <c r="C14" s="1" t="s">
        <v>8</v>
      </c>
      <c r="D14" s="6">
        <v>194004</v>
      </c>
      <c r="E14" s="8">
        <v>9.1618410576135692E-2</v>
      </c>
      <c r="G14" s="8"/>
    </row>
    <row r="15" spans="2:8" x14ac:dyDescent="0.25">
      <c r="D15" s="6"/>
      <c r="E15" s="8"/>
      <c r="G15" s="8"/>
    </row>
    <row r="16" spans="2:8" x14ac:dyDescent="0.25">
      <c r="B16" t="s">
        <v>11</v>
      </c>
      <c r="C16" t="s">
        <v>7</v>
      </c>
      <c r="D16" s="6">
        <v>1354359</v>
      </c>
      <c r="E16" s="8">
        <v>0.6395961883749024</v>
      </c>
      <c r="G16" s="8"/>
      <c r="H16" s="8"/>
    </row>
    <row r="17" spans="2:10" x14ac:dyDescent="0.25">
      <c r="B17" t="s">
        <v>11</v>
      </c>
      <c r="C17" t="s">
        <v>16</v>
      </c>
      <c r="D17" s="6">
        <v>209782</v>
      </c>
      <c r="E17" s="8">
        <v>9.9069572830884398E-2</v>
      </c>
      <c r="G17" s="8"/>
      <c r="H17" s="8"/>
    </row>
    <row r="18" spans="2:10" x14ac:dyDescent="0.25">
      <c r="C18" s="1" t="s">
        <v>8</v>
      </c>
      <c r="D18" s="6">
        <v>1564141</v>
      </c>
      <c r="E18" s="8">
        <v>0.73866576120578675</v>
      </c>
      <c r="G18" s="8"/>
    </row>
    <row r="19" spans="2:10" x14ac:dyDescent="0.25">
      <c r="D19" s="6"/>
      <c r="E19" s="8"/>
      <c r="G19" s="8"/>
    </row>
    <row r="20" spans="2:10" x14ac:dyDescent="0.25">
      <c r="B20" t="s">
        <v>12</v>
      </c>
      <c r="C20" t="s">
        <v>7</v>
      </c>
      <c r="D20" s="6">
        <v>116329</v>
      </c>
      <c r="E20" s="8">
        <v>5.4936383187518242E-2</v>
      </c>
      <c r="G20" s="8"/>
      <c r="H20" s="8"/>
    </row>
    <row r="21" spans="2:10" x14ac:dyDescent="0.25">
      <c r="B21" t="s">
        <v>12</v>
      </c>
      <c r="C21" t="s">
        <v>16</v>
      </c>
      <c r="D21" s="6">
        <v>17126</v>
      </c>
      <c r="E21" s="8">
        <v>8.0877554046663979E-3</v>
      </c>
      <c r="G21" s="8"/>
      <c r="H21" s="8"/>
    </row>
    <row r="22" spans="2:10" x14ac:dyDescent="0.25">
      <c r="C22" s="1" t="s">
        <v>8</v>
      </c>
      <c r="D22" s="6">
        <v>133455</v>
      </c>
      <c r="E22" s="8">
        <v>6.3024138592184642E-2</v>
      </c>
      <c r="G22" s="8"/>
    </row>
    <row r="23" spans="2:10" x14ac:dyDescent="0.25">
      <c r="D23" s="6"/>
      <c r="E23" s="8"/>
      <c r="G23" s="8"/>
    </row>
    <row r="24" spans="2:10" x14ac:dyDescent="0.25">
      <c r="B24" t="s">
        <v>13</v>
      </c>
      <c r="C24" t="s">
        <v>7</v>
      </c>
      <c r="D24" s="6">
        <v>108216</v>
      </c>
      <c r="E24" s="8">
        <v>5.110501803523175E-2</v>
      </c>
      <c r="G24" s="8"/>
      <c r="H24" s="8"/>
    </row>
    <row r="25" spans="2:10" x14ac:dyDescent="0.25">
      <c r="B25" t="s">
        <v>13</v>
      </c>
      <c r="C25" t="s">
        <v>16</v>
      </c>
      <c r="D25" s="6">
        <v>20662</v>
      </c>
      <c r="E25" s="8">
        <v>9.7576317979222883E-3</v>
      </c>
      <c r="G25" s="8"/>
      <c r="H25" s="8"/>
    </row>
    <row r="26" spans="2:10" x14ac:dyDescent="0.25">
      <c r="C26" s="1" t="s">
        <v>8</v>
      </c>
      <c r="D26" s="6">
        <v>128878</v>
      </c>
      <c r="E26" s="8">
        <v>6.0862649833154037E-2</v>
      </c>
      <c r="G26" s="8"/>
    </row>
    <row r="27" spans="2:10" ht="15.75" thickBot="1" x14ac:dyDescent="0.3">
      <c r="B27" s="3"/>
      <c r="C27" s="3"/>
      <c r="D27" s="7"/>
      <c r="E27" s="9"/>
      <c r="G27" s="8"/>
    </row>
    <row r="28" spans="2:10" x14ac:dyDescent="0.25">
      <c r="B28" t="s">
        <v>14</v>
      </c>
      <c r="C28" t="s">
        <v>7</v>
      </c>
      <c r="D28" s="6">
        <v>1806676</v>
      </c>
      <c r="E28" s="8">
        <v>0.8532029419292928</v>
      </c>
      <c r="G28" s="8"/>
      <c r="H28" s="8"/>
      <c r="J28" s="8"/>
    </row>
    <row r="29" spans="2:10" x14ac:dyDescent="0.25">
      <c r="B29" t="s">
        <v>14</v>
      </c>
      <c r="C29" t="s">
        <v>16</v>
      </c>
      <c r="D29" s="6">
        <v>310846</v>
      </c>
      <c r="E29" s="8">
        <v>0.14679705807070717</v>
      </c>
      <c r="G29" s="8"/>
      <c r="H29" s="8"/>
      <c r="J29" s="8"/>
    </row>
    <row r="30" spans="2:10" x14ac:dyDescent="0.25">
      <c r="C30" s="1" t="s">
        <v>15</v>
      </c>
      <c r="D30" s="6">
        <v>2117522</v>
      </c>
      <c r="E30" s="8">
        <v>1</v>
      </c>
      <c r="G30" s="8"/>
      <c r="J30"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AF221-8354-45F8-B855-2FD0541CD4D9}">
  <dimension ref="B2:E21"/>
  <sheetViews>
    <sheetView workbookViewId="0"/>
  </sheetViews>
  <sheetFormatPr defaultRowHeight="15" x14ac:dyDescent="0.25"/>
  <cols>
    <col min="2" max="2" width="27.42578125" customWidth="1"/>
    <col min="3" max="5" width="12" customWidth="1"/>
  </cols>
  <sheetData>
    <row r="2" spans="2:5" ht="15.75" thickBot="1" x14ac:dyDescent="0.3">
      <c r="B2" s="2" t="s">
        <v>17</v>
      </c>
      <c r="C2" s="3"/>
      <c r="D2" s="3"/>
      <c r="E2" s="3"/>
    </row>
    <row r="3" spans="2:5" ht="15.75" thickBot="1" x14ac:dyDescent="0.3">
      <c r="B3" s="4" t="s">
        <v>2</v>
      </c>
      <c r="C3" s="5" t="s">
        <v>18</v>
      </c>
      <c r="D3" s="5" t="s">
        <v>19</v>
      </c>
      <c r="E3" s="5" t="s">
        <v>20</v>
      </c>
    </row>
    <row r="4" spans="2:5" x14ac:dyDescent="0.25">
      <c r="B4" t="s">
        <v>7</v>
      </c>
      <c r="C4" s="6">
        <v>70332.7985581057</v>
      </c>
      <c r="D4" s="6">
        <v>229470.35418061513</v>
      </c>
      <c r="E4" s="6">
        <v>299803.15273872082</v>
      </c>
    </row>
    <row r="5" spans="2:5" x14ac:dyDescent="0.25">
      <c r="B5" t="s">
        <v>6</v>
      </c>
      <c r="C5" s="6">
        <v>0</v>
      </c>
      <c r="D5" s="6">
        <v>30151.040082807405</v>
      </c>
      <c r="E5" s="6">
        <v>30151.040082807405</v>
      </c>
    </row>
    <row r="6" spans="2:5" x14ac:dyDescent="0.25">
      <c r="B6" t="s">
        <v>21</v>
      </c>
      <c r="C6" s="6">
        <v>1467442</v>
      </c>
      <c r="D6" s="6">
        <v>1499256</v>
      </c>
      <c r="E6" s="6">
        <v>2966697</v>
      </c>
    </row>
    <row r="7" spans="2:5" x14ac:dyDescent="0.25">
      <c r="B7" t="s">
        <v>22</v>
      </c>
      <c r="C7" s="6">
        <v>3147</v>
      </c>
      <c r="D7" s="6">
        <v>35371</v>
      </c>
      <c r="E7" s="6">
        <v>38519</v>
      </c>
    </row>
    <row r="8" spans="2:5" x14ac:dyDescent="0.25">
      <c r="B8" t="s">
        <v>23</v>
      </c>
      <c r="C8" s="6">
        <v>26100.910249113153</v>
      </c>
      <c r="D8" s="6">
        <v>30525.849442183026</v>
      </c>
      <c r="E8" s="6">
        <v>56626.759691296196</v>
      </c>
    </row>
    <row r="9" spans="2:5" x14ac:dyDescent="0.25">
      <c r="B9" t="s">
        <v>24</v>
      </c>
      <c r="C9" s="6">
        <v>0</v>
      </c>
      <c r="D9" s="6">
        <v>8586.103000000001</v>
      </c>
      <c r="E9" s="6">
        <v>8586.103000000001</v>
      </c>
    </row>
    <row r="10" spans="2:5" x14ac:dyDescent="0.25">
      <c r="B10" t="s">
        <v>25</v>
      </c>
      <c r="C10" s="6">
        <v>366.67084649118766</v>
      </c>
      <c r="D10" s="6">
        <v>56385.354260263135</v>
      </c>
      <c r="E10" s="6">
        <v>56752.025106754321</v>
      </c>
    </row>
    <row r="11" spans="2:5" x14ac:dyDescent="0.25">
      <c r="B11" t="s">
        <v>26</v>
      </c>
      <c r="C11" s="6">
        <v>32473.989999999998</v>
      </c>
      <c r="D11" s="6">
        <v>32945.853999999999</v>
      </c>
      <c r="E11" s="6">
        <v>65419.843999999997</v>
      </c>
    </row>
    <row r="12" spans="2:5" ht="15.75" thickBot="1" x14ac:dyDescent="0.3">
      <c r="B12" s="3" t="s">
        <v>27</v>
      </c>
      <c r="C12" s="7">
        <v>282522</v>
      </c>
      <c r="D12" s="7">
        <v>0</v>
      </c>
      <c r="E12" s="7">
        <v>282522</v>
      </c>
    </row>
    <row r="13" spans="2:5" x14ac:dyDescent="0.25">
      <c r="B13" t="s">
        <v>15</v>
      </c>
      <c r="C13" s="6">
        <f>SUM(C4:C12)</f>
        <v>1882385.3696537099</v>
      </c>
      <c r="D13" s="6">
        <f t="shared" ref="D13:E13" si="0">SUM(D4:D12)</f>
        <v>1922691.5549658686</v>
      </c>
      <c r="E13" s="6">
        <f t="shared" si="0"/>
        <v>3805076.9246195788</v>
      </c>
    </row>
    <row r="16" spans="2:5" x14ac:dyDescent="0.25">
      <c r="B16" t="s">
        <v>28</v>
      </c>
    </row>
    <row r="21" spans="5:5" x14ac:dyDescent="0.25">
      <c r="E21"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35834-8853-4755-AF47-D915A269B1CA}">
  <dimension ref="B2:F17"/>
  <sheetViews>
    <sheetView workbookViewId="0"/>
  </sheetViews>
  <sheetFormatPr defaultRowHeight="15" x14ac:dyDescent="0.25"/>
  <cols>
    <col min="2" max="2" width="27.42578125" customWidth="1"/>
    <col min="3" max="3" width="13.28515625" customWidth="1"/>
    <col min="4" max="4" width="7.28515625" customWidth="1"/>
    <col min="5" max="6" width="12" customWidth="1"/>
  </cols>
  <sheetData>
    <row r="2" spans="2:6" x14ac:dyDescent="0.25">
      <c r="B2" s="1" t="s">
        <v>210</v>
      </c>
    </row>
    <row r="3" spans="2:6" ht="15.75" thickBot="1" x14ac:dyDescent="0.3">
      <c r="B3" s="2" t="s">
        <v>29</v>
      </c>
      <c r="C3" s="3"/>
      <c r="D3" s="3"/>
      <c r="E3" s="3"/>
      <c r="F3" s="3"/>
    </row>
    <row r="4" spans="2:6" ht="15.75" thickBot="1" x14ac:dyDescent="0.3">
      <c r="B4" s="4" t="s">
        <v>2</v>
      </c>
      <c r="C4" s="71" t="s">
        <v>32</v>
      </c>
      <c r="D4" s="5"/>
      <c r="E4" s="5" t="s">
        <v>30</v>
      </c>
      <c r="F4" s="5" t="s">
        <v>31</v>
      </c>
    </row>
    <row r="5" spans="2:6" x14ac:dyDescent="0.25">
      <c r="B5" t="s">
        <v>7</v>
      </c>
      <c r="C5" s="69">
        <f>('2. StateWith'!E4/'2. StateWith'!E$13)*100</f>
        <v>7.8790300085377201</v>
      </c>
      <c r="D5" s="69"/>
      <c r="E5" s="67">
        <f>('2. StateWith'!C4/'2. StateWith'!$E4)*100</f>
        <v>23.459659418392075</v>
      </c>
      <c r="F5" s="67">
        <f>('2. StateWith'!D4/'2. StateWith'!$E4)*100</f>
        <v>76.540340581607921</v>
      </c>
    </row>
    <row r="6" spans="2:6" x14ac:dyDescent="0.25">
      <c r="B6" t="s">
        <v>6</v>
      </c>
      <c r="C6" s="69">
        <f>('2. StateWith'!E5/'2. StateWith'!E$13)*100</f>
        <v>0.79238976452024878</v>
      </c>
      <c r="D6" s="69"/>
      <c r="E6" s="67">
        <f>('2. StateWith'!C5/'2. StateWith'!$E5)*100</f>
        <v>0</v>
      </c>
      <c r="F6" s="67">
        <f>('2. StateWith'!D5/'2. StateWith'!$E5)*100</f>
        <v>100</v>
      </c>
    </row>
    <row r="7" spans="2:6" x14ac:dyDescent="0.25">
      <c r="B7" t="s">
        <v>21</v>
      </c>
      <c r="C7" s="69">
        <f>('2. StateWith'!E6/'2. StateWith'!E$13)*100</f>
        <v>77.966807472534924</v>
      </c>
      <c r="D7" s="69"/>
      <c r="E7" s="67">
        <f>('2. StateWith'!C6/'2. StateWith'!$E6)*100</f>
        <v>49.463831324870725</v>
      </c>
      <c r="F7" s="67">
        <f>('2. StateWith'!D6/'2. StateWith'!$E6)*100</f>
        <v>50.536202382649797</v>
      </c>
    </row>
    <row r="8" spans="2:6" x14ac:dyDescent="0.25">
      <c r="B8" t="s">
        <v>22</v>
      </c>
      <c r="C8" s="69">
        <f>('2. StateWith'!E7/'2. StateWith'!E$13)*100</f>
        <v>1.0123054214955465</v>
      </c>
      <c r="D8" s="69"/>
      <c r="E8" s="67">
        <f>('2. StateWith'!C7/'2. StateWith'!$E7)*100</f>
        <v>8.169994028920792</v>
      </c>
      <c r="F8" s="67">
        <f>('2. StateWith'!D7/'2. StateWith'!$E7)*100</f>
        <v>91.827409849684571</v>
      </c>
    </row>
    <row r="9" spans="2:6" x14ac:dyDescent="0.25">
      <c r="B9" t="s">
        <v>23</v>
      </c>
      <c r="C9" s="69">
        <f>('2. StateWith'!E8/'2. StateWith'!E$13)*100</f>
        <v>1.4881896164808177</v>
      </c>
      <c r="D9" s="69"/>
      <c r="E9" s="67">
        <f>('2. StateWith'!C8/'2. StateWith'!$E8)*100</f>
        <v>46.092890342664248</v>
      </c>
      <c r="F9" s="67">
        <f>('2. StateWith'!D8/'2. StateWith'!$E8)*100</f>
        <v>53.907109657335731</v>
      </c>
    </row>
    <row r="10" spans="2:6" x14ac:dyDescent="0.25">
      <c r="B10" t="s">
        <v>24</v>
      </c>
      <c r="C10" s="69">
        <f>('2. StateWith'!E9/'2. StateWith'!E$13)*100</f>
        <v>0.22564860501101211</v>
      </c>
      <c r="D10" s="69"/>
      <c r="E10" s="67">
        <f>('2. StateWith'!C9/'2. StateWith'!$E9)*100</f>
        <v>0</v>
      </c>
      <c r="F10" s="67">
        <f>('2. StateWith'!D9/'2. StateWith'!$E9)*100</f>
        <v>100</v>
      </c>
    </row>
    <row r="11" spans="2:6" x14ac:dyDescent="0.25">
      <c r="B11" t="s">
        <v>25</v>
      </c>
      <c r="C11" s="69">
        <f>('2. StateWith'!E10/'2. StateWith'!E$13)*100</f>
        <v>1.4914816764822234</v>
      </c>
      <c r="D11" s="69"/>
      <c r="E11" s="67">
        <f>('2. StateWith'!C10/'2. StateWith'!$E10)*100</f>
        <v>0.64609297342509886</v>
      </c>
      <c r="F11" s="67">
        <f>('2. StateWith'!D10/'2. StateWith'!$E10)*100</f>
        <v>99.353907026574902</v>
      </c>
    </row>
    <row r="12" spans="2:6" x14ac:dyDescent="0.25">
      <c r="B12" t="s">
        <v>26</v>
      </c>
      <c r="C12" s="69">
        <f>('2. StateWith'!E11/'2. StateWith'!E$13)*100</f>
        <v>1.7192778305405874</v>
      </c>
      <c r="D12" s="69"/>
      <c r="E12" s="67">
        <f>('2. StateWith'!C11/'2. StateWith'!$E11)*100</f>
        <v>49.639357134511052</v>
      </c>
      <c r="F12" s="67">
        <f>('2. StateWith'!D11/'2. StateWith'!$E11)*100</f>
        <v>50.360642865488948</v>
      </c>
    </row>
    <row r="13" spans="2:6" ht="15.75" thickBot="1" x14ac:dyDescent="0.3">
      <c r="B13" s="3" t="s">
        <v>27</v>
      </c>
      <c r="C13" s="70">
        <f>('2. StateWith'!E12/'2. StateWith'!E$13)*100</f>
        <v>7.4248696043969149</v>
      </c>
      <c r="D13" s="70"/>
      <c r="E13" s="68">
        <f>('2. StateWith'!C12/'2. StateWith'!$E12)*100</f>
        <v>100</v>
      </c>
      <c r="F13" s="68">
        <f>('2. StateWith'!D12/'2. StateWith'!$E12)*100</f>
        <v>0</v>
      </c>
    </row>
    <row r="14" spans="2:6" x14ac:dyDescent="0.25">
      <c r="B14" t="s">
        <v>15</v>
      </c>
      <c r="C14" s="69">
        <f>('2. StateWith'!E13/'2. StateWith'!E$13)*100</f>
        <v>100</v>
      </c>
      <c r="D14" s="69"/>
      <c r="E14" s="67">
        <f>('2. StateWith'!C13/'2. StateWith'!$E13)*100</f>
        <v>49.470363068728382</v>
      </c>
      <c r="F14" s="67">
        <f>('2. StateWith'!D13/'2. StateWith'!$E13)*100</f>
        <v>50.529636931271604</v>
      </c>
    </row>
    <row r="17" spans="2:2" x14ac:dyDescent="0.25">
      <c r="B17" t="s">
        <v>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8FC3B-C4BF-465A-9C02-A38FDEDE3C13}">
  <dimension ref="B2:E15"/>
  <sheetViews>
    <sheetView workbookViewId="0"/>
  </sheetViews>
  <sheetFormatPr defaultRowHeight="15" x14ac:dyDescent="0.25"/>
  <cols>
    <col min="2" max="2" width="27.42578125" customWidth="1"/>
    <col min="3" max="5" width="10.28515625" customWidth="1"/>
  </cols>
  <sheetData>
    <row r="2" spans="2:5" ht="15.75" thickBot="1" x14ac:dyDescent="0.3">
      <c r="B2" s="2" t="s">
        <v>34</v>
      </c>
      <c r="C2" s="3"/>
      <c r="D2" s="3"/>
      <c r="E2" s="3"/>
    </row>
    <row r="3" spans="2:5" ht="15.75" thickBot="1" x14ac:dyDescent="0.3">
      <c r="B3" s="4" t="s">
        <v>2</v>
      </c>
      <c r="C3" s="5" t="s">
        <v>35</v>
      </c>
      <c r="D3" s="5" t="s">
        <v>36</v>
      </c>
      <c r="E3" s="5" t="s">
        <v>37</v>
      </c>
    </row>
    <row r="4" spans="2:5" x14ac:dyDescent="0.25">
      <c r="B4" t="s">
        <v>7</v>
      </c>
      <c r="C4">
        <v>95</v>
      </c>
      <c r="D4">
        <v>98</v>
      </c>
      <c r="E4">
        <v>97</v>
      </c>
    </row>
    <row r="5" spans="2:5" x14ac:dyDescent="0.25">
      <c r="B5" t="s">
        <v>6</v>
      </c>
      <c r="C5">
        <v>0</v>
      </c>
      <c r="D5">
        <v>0</v>
      </c>
      <c r="E5">
        <v>0</v>
      </c>
    </row>
    <row r="6" spans="2:5" x14ac:dyDescent="0.25">
      <c r="B6" t="s">
        <v>21</v>
      </c>
      <c r="C6">
        <v>62</v>
      </c>
      <c r="D6">
        <v>35</v>
      </c>
      <c r="E6">
        <v>48</v>
      </c>
    </row>
    <row r="7" spans="2:5" x14ac:dyDescent="0.25">
      <c r="B7" t="s">
        <v>22</v>
      </c>
      <c r="C7">
        <v>0</v>
      </c>
      <c r="D7">
        <v>4</v>
      </c>
      <c r="E7">
        <v>4</v>
      </c>
    </row>
    <row r="8" spans="2:5" x14ac:dyDescent="0.25">
      <c r="B8" t="s">
        <v>23</v>
      </c>
      <c r="C8">
        <v>100</v>
      </c>
      <c r="D8">
        <v>95</v>
      </c>
      <c r="E8">
        <v>97</v>
      </c>
    </row>
    <row r="9" spans="2:5" x14ac:dyDescent="0.25">
      <c r="B9" t="s">
        <v>24</v>
      </c>
      <c r="C9">
        <v>0</v>
      </c>
      <c r="D9">
        <v>100</v>
      </c>
      <c r="E9">
        <v>100</v>
      </c>
    </row>
    <row r="10" spans="2:5" x14ac:dyDescent="0.25">
      <c r="B10" t="s">
        <v>25</v>
      </c>
      <c r="C10">
        <v>1</v>
      </c>
      <c r="D10">
        <v>63</v>
      </c>
      <c r="E10">
        <v>63</v>
      </c>
    </row>
    <row r="11" spans="2:5" x14ac:dyDescent="0.25">
      <c r="B11" t="s">
        <v>26</v>
      </c>
      <c r="C11">
        <v>100</v>
      </c>
      <c r="D11">
        <v>100</v>
      </c>
      <c r="E11">
        <v>100</v>
      </c>
    </row>
    <row r="12" spans="2:5" ht="15.75" thickBot="1" x14ac:dyDescent="0.3">
      <c r="B12" s="3" t="s">
        <v>27</v>
      </c>
      <c r="C12" s="3">
        <v>76</v>
      </c>
      <c r="D12" s="3">
        <v>0</v>
      </c>
      <c r="E12" s="3">
        <v>76</v>
      </c>
    </row>
    <row r="15" spans="2:5" x14ac:dyDescent="0.25">
      <c r="B15" t="s">
        <v>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D2949-4123-4E67-BD43-CBA603873B6A}">
  <dimension ref="B2:G337"/>
  <sheetViews>
    <sheetView workbookViewId="0">
      <pane ySplit="3" topLeftCell="A4" activePane="bottomLeft" state="frozen"/>
      <selection pane="bottomLeft"/>
    </sheetView>
  </sheetViews>
  <sheetFormatPr defaultRowHeight="15" x14ac:dyDescent="0.25"/>
  <cols>
    <col min="2" max="2" width="6.85546875" style="11" customWidth="1"/>
    <col min="3" max="3" width="13.7109375" customWidth="1"/>
    <col min="4" max="4" width="27.42578125" customWidth="1"/>
    <col min="5" max="7" width="10.28515625" style="6" customWidth="1"/>
  </cols>
  <sheetData>
    <row r="2" spans="2:7" ht="15.75" thickBot="1" x14ac:dyDescent="0.3">
      <c r="B2" s="12" t="s">
        <v>39</v>
      </c>
      <c r="C2" s="3"/>
      <c r="D2" s="3"/>
      <c r="E2" s="7"/>
      <c r="F2" s="7"/>
      <c r="G2" s="7"/>
    </row>
    <row r="3" spans="2:7" ht="15.75" thickBot="1" x14ac:dyDescent="0.3">
      <c r="B3" s="10" t="s">
        <v>40</v>
      </c>
      <c r="C3" s="4" t="s">
        <v>41</v>
      </c>
      <c r="D3" s="4" t="s">
        <v>2</v>
      </c>
      <c r="E3" s="18" t="s">
        <v>18</v>
      </c>
      <c r="F3" s="18" t="s">
        <v>19</v>
      </c>
      <c r="G3" s="18" t="s">
        <v>20</v>
      </c>
    </row>
    <row r="4" spans="2:7" x14ac:dyDescent="0.25">
      <c r="B4" s="11">
        <v>1</v>
      </c>
      <c r="C4" t="s">
        <v>43</v>
      </c>
      <c r="D4" t="s">
        <v>7</v>
      </c>
      <c r="E4" s="6">
        <v>33249.522299999997</v>
      </c>
      <c r="F4" s="6">
        <v>68585.502472542372</v>
      </c>
      <c r="G4" s="6">
        <v>101835.02477254237</v>
      </c>
    </row>
    <row r="5" spans="2:7" x14ac:dyDescent="0.25">
      <c r="B5" s="11">
        <v>1</v>
      </c>
      <c r="C5" t="s">
        <v>43</v>
      </c>
      <c r="D5" t="s">
        <v>6</v>
      </c>
      <c r="E5" s="6">
        <v>0</v>
      </c>
      <c r="F5" s="6">
        <v>1737.9002172508733</v>
      </c>
      <c r="G5" s="6">
        <v>1737.9002172508733</v>
      </c>
    </row>
    <row r="6" spans="2:7" x14ac:dyDescent="0.25">
      <c r="B6" s="11">
        <v>1</v>
      </c>
      <c r="C6" t="s">
        <v>43</v>
      </c>
      <c r="D6" t="s">
        <v>21</v>
      </c>
      <c r="E6" s="6">
        <v>39564.224967584611</v>
      </c>
      <c r="F6" s="6">
        <v>2721.6748254620124</v>
      </c>
      <c r="G6" s="6">
        <v>42285.899793046621</v>
      </c>
    </row>
    <row r="7" spans="2:7" x14ac:dyDescent="0.25">
      <c r="B7" s="11">
        <v>1</v>
      </c>
      <c r="C7" t="s">
        <v>43</v>
      </c>
      <c r="D7" t="s">
        <v>22</v>
      </c>
      <c r="E7" s="6">
        <v>38.45615409554123</v>
      </c>
      <c r="F7" s="6">
        <v>71.418571891719438</v>
      </c>
      <c r="G7" s="6">
        <v>109.87472598726067</v>
      </c>
    </row>
    <row r="8" spans="2:7" x14ac:dyDescent="0.25">
      <c r="B8" s="11">
        <v>1</v>
      </c>
      <c r="C8" t="s">
        <v>43</v>
      </c>
      <c r="D8" t="s">
        <v>23</v>
      </c>
      <c r="E8" s="6">
        <v>0</v>
      </c>
      <c r="F8" s="6">
        <v>6317.1685412197612</v>
      </c>
      <c r="G8" s="6">
        <v>6317.1685412197612</v>
      </c>
    </row>
    <row r="9" spans="2:7" x14ac:dyDescent="0.25">
      <c r="B9" s="11">
        <v>1</v>
      </c>
      <c r="C9" t="s">
        <v>43</v>
      </c>
      <c r="D9" t="s">
        <v>24</v>
      </c>
      <c r="E9" s="6">
        <v>0</v>
      </c>
      <c r="F9" s="6">
        <v>2610.38</v>
      </c>
      <c r="G9" s="6">
        <v>2610.38</v>
      </c>
    </row>
    <row r="10" spans="2:7" x14ac:dyDescent="0.25">
      <c r="B10" s="11">
        <v>1</v>
      </c>
      <c r="C10" t="s">
        <v>43</v>
      </c>
      <c r="D10" t="s">
        <v>25</v>
      </c>
      <c r="E10" s="6">
        <v>0</v>
      </c>
      <c r="F10" s="6">
        <v>339.28559839926839</v>
      </c>
      <c r="G10" s="6">
        <v>339.28559839926839</v>
      </c>
    </row>
    <row r="11" spans="2:7" x14ac:dyDescent="0.25">
      <c r="B11" s="11">
        <v>1</v>
      </c>
      <c r="C11" t="s">
        <v>43</v>
      </c>
      <c r="D11" t="s">
        <v>26</v>
      </c>
      <c r="E11" s="6">
        <v>0</v>
      </c>
      <c r="F11" s="6">
        <v>301.57</v>
      </c>
      <c r="G11" s="6">
        <v>301.57</v>
      </c>
    </row>
    <row r="12" spans="2:7" x14ac:dyDescent="0.25">
      <c r="B12" s="11">
        <v>1</v>
      </c>
      <c r="C12" t="s">
        <v>43</v>
      </c>
      <c r="D12" t="s">
        <v>27</v>
      </c>
      <c r="E12" s="6">
        <v>0</v>
      </c>
      <c r="F12" s="6">
        <v>0</v>
      </c>
      <c r="G12" s="6">
        <v>0</v>
      </c>
    </row>
    <row r="13" spans="2:7" ht="15.75" thickBot="1" x14ac:dyDescent="0.3">
      <c r="B13" s="13"/>
      <c r="C13" s="3"/>
      <c r="D13" s="2" t="s">
        <v>42</v>
      </c>
      <c r="E13" s="72">
        <f>SUM(E4:E12)</f>
        <v>72852.203421680155</v>
      </c>
      <c r="F13" s="72">
        <f t="shared" ref="F13:G13" si="0">SUM(F4:F12)</f>
        <v>82684.900226766011</v>
      </c>
      <c r="G13" s="72">
        <f t="shared" si="0"/>
        <v>155537.10364844615</v>
      </c>
    </row>
    <row r="14" spans="2:7" x14ac:dyDescent="0.25">
      <c r="B14" s="11">
        <v>3</v>
      </c>
      <c r="C14" t="s">
        <v>44</v>
      </c>
      <c r="D14" t="s">
        <v>7</v>
      </c>
      <c r="E14" s="6">
        <v>0</v>
      </c>
      <c r="F14" s="6">
        <v>144.5337098297808</v>
      </c>
      <c r="G14" s="6">
        <v>144.5337098297808</v>
      </c>
    </row>
    <row r="15" spans="2:7" x14ac:dyDescent="0.25">
      <c r="B15" s="11">
        <v>3</v>
      </c>
      <c r="C15" t="s">
        <v>44</v>
      </c>
      <c r="D15" t="s">
        <v>6</v>
      </c>
      <c r="E15" s="6">
        <v>0</v>
      </c>
      <c r="F15" s="6">
        <v>171.62292007863192</v>
      </c>
      <c r="G15" s="6">
        <v>171.62292007863192</v>
      </c>
    </row>
    <row r="16" spans="2:7" x14ac:dyDescent="0.25">
      <c r="B16" s="11">
        <v>3</v>
      </c>
      <c r="C16" t="s">
        <v>44</v>
      </c>
      <c r="D16" t="s">
        <v>21</v>
      </c>
      <c r="E16" s="6">
        <v>16812.730183634914</v>
      </c>
      <c r="F16" s="6">
        <v>641.97648939393935</v>
      </c>
      <c r="G16" s="6">
        <v>17454.706673028853</v>
      </c>
    </row>
    <row r="17" spans="2:7" x14ac:dyDescent="0.25">
      <c r="B17" s="11">
        <v>3</v>
      </c>
      <c r="C17" t="s">
        <v>44</v>
      </c>
      <c r="D17" t="s">
        <v>22</v>
      </c>
      <c r="E17" s="6">
        <v>248.46625930226494</v>
      </c>
      <c r="F17" s="6">
        <v>106.4855397009707</v>
      </c>
      <c r="G17" s="6">
        <v>354.95179900323569</v>
      </c>
    </row>
    <row r="18" spans="2:7" x14ac:dyDescent="0.25">
      <c r="B18" s="11">
        <v>3</v>
      </c>
      <c r="C18" t="s">
        <v>44</v>
      </c>
      <c r="D18" t="s">
        <v>23</v>
      </c>
      <c r="E18" s="6">
        <v>2348.71</v>
      </c>
      <c r="F18" s="6">
        <v>20.079462521213681</v>
      </c>
      <c r="G18" s="6">
        <v>2368.7894625212139</v>
      </c>
    </row>
    <row r="19" spans="2:7" x14ac:dyDescent="0.25">
      <c r="B19" s="11">
        <v>3</v>
      </c>
      <c r="C19" t="s">
        <v>44</v>
      </c>
      <c r="D19" t="s">
        <v>24</v>
      </c>
      <c r="E19" s="6">
        <v>0</v>
      </c>
      <c r="F19" s="6">
        <v>0</v>
      </c>
      <c r="G19" s="6">
        <v>0</v>
      </c>
    </row>
    <row r="20" spans="2:7" x14ac:dyDescent="0.25">
      <c r="B20" s="11">
        <v>3</v>
      </c>
      <c r="C20" t="s">
        <v>44</v>
      </c>
      <c r="D20" t="s">
        <v>25</v>
      </c>
      <c r="E20" s="6">
        <v>0</v>
      </c>
      <c r="F20" s="6">
        <v>0</v>
      </c>
      <c r="G20" s="6">
        <v>0</v>
      </c>
    </row>
    <row r="21" spans="2:7" x14ac:dyDescent="0.25">
      <c r="B21" s="11">
        <v>3</v>
      </c>
      <c r="C21" t="s">
        <v>44</v>
      </c>
      <c r="D21" t="s">
        <v>26</v>
      </c>
      <c r="E21" s="6">
        <v>0</v>
      </c>
      <c r="F21" s="6">
        <v>0</v>
      </c>
      <c r="G21" s="6">
        <v>0</v>
      </c>
    </row>
    <row r="22" spans="2:7" x14ac:dyDescent="0.25">
      <c r="B22" s="11">
        <v>3</v>
      </c>
      <c r="C22" t="s">
        <v>44</v>
      </c>
      <c r="D22" t="s">
        <v>27</v>
      </c>
      <c r="E22" s="6">
        <v>0</v>
      </c>
      <c r="F22" s="6">
        <v>0</v>
      </c>
      <c r="G22" s="6">
        <v>0</v>
      </c>
    </row>
    <row r="23" spans="2:7" ht="15.75" thickBot="1" x14ac:dyDescent="0.3">
      <c r="B23" s="13"/>
      <c r="C23" s="3"/>
      <c r="D23" s="2" t="s">
        <v>42</v>
      </c>
      <c r="E23" s="72">
        <f>SUM(E14:E22)</f>
        <v>19409.906442937179</v>
      </c>
      <c r="F23" s="72">
        <f t="shared" ref="F23" si="1">SUM(F14:F22)</f>
        <v>1084.6981215245364</v>
      </c>
      <c r="G23" s="72">
        <f t="shared" ref="G23" si="2">SUM(G14:G22)</f>
        <v>20494.604564461715</v>
      </c>
    </row>
    <row r="24" spans="2:7" x14ac:dyDescent="0.25">
      <c r="B24" s="11">
        <v>5</v>
      </c>
      <c r="C24" t="s">
        <v>45</v>
      </c>
      <c r="D24" t="s">
        <v>7</v>
      </c>
      <c r="E24" s="6">
        <v>0</v>
      </c>
      <c r="F24" s="6">
        <v>17160.461257353822</v>
      </c>
      <c r="G24" s="6">
        <v>17160.461257353822</v>
      </c>
    </row>
    <row r="25" spans="2:7" x14ac:dyDescent="0.25">
      <c r="B25" s="11">
        <v>5</v>
      </c>
      <c r="C25" t="s">
        <v>45</v>
      </c>
      <c r="D25" t="s">
        <v>6</v>
      </c>
      <c r="E25" s="6">
        <v>0</v>
      </c>
      <c r="F25" s="6">
        <v>817.1376803943574</v>
      </c>
      <c r="G25" s="6">
        <v>817.1376803943574</v>
      </c>
    </row>
    <row r="26" spans="2:7" x14ac:dyDescent="0.25">
      <c r="B26" s="11">
        <v>5</v>
      </c>
      <c r="C26" t="s">
        <v>45</v>
      </c>
      <c r="D26" t="s">
        <v>21</v>
      </c>
      <c r="E26" s="6">
        <v>31445.969199445164</v>
      </c>
      <c r="F26" s="6">
        <v>209688.24475524476</v>
      </c>
      <c r="G26" s="6">
        <v>241134.21395468991</v>
      </c>
    </row>
    <row r="27" spans="2:7" x14ac:dyDescent="0.25">
      <c r="B27" s="11">
        <v>5</v>
      </c>
      <c r="C27" t="s">
        <v>45</v>
      </c>
      <c r="D27" t="s">
        <v>22</v>
      </c>
      <c r="E27" s="6">
        <v>224.0293926563165</v>
      </c>
      <c r="F27" s="6">
        <v>7144.9116204045986</v>
      </c>
      <c r="G27" s="6">
        <v>7368.9410130609149</v>
      </c>
    </row>
    <row r="28" spans="2:7" x14ac:dyDescent="0.25">
      <c r="B28" s="11">
        <v>5</v>
      </c>
      <c r="C28" t="s">
        <v>45</v>
      </c>
      <c r="D28" t="s">
        <v>23</v>
      </c>
      <c r="E28" s="6">
        <v>2218.9230769230771</v>
      </c>
      <c r="F28" s="6">
        <v>674.49685116817193</v>
      </c>
      <c r="G28" s="6">
        <v>2893.4199280912489</v>
      </c>
    </row>
    <row r="29" spans="2:7" x14ac:dyDescent="0.25">
      <c r="B29" s="11">
        <v>5</v>
      </c>
      <c r="C29" t="s">
        <v>45</v>
      </c>
      <c r="D29" t="s">
        <v>24</v>
      </c>
      <c r="E29" s="6">
        <v>0</v>
      </c>
      <c r="F29" s="6">
        <v>0</v>
      </c>
      <c r="G29" s="6">
        <v>0</v>
      </c>
    </row>
    <row r="30" spans="2:7" x14ac:dyDescent="0.25">
      <c r="B30" s="11">
        <v>5</v>
      </c>
      <c r="C30" t="s">
        <v>45</v>
      </c>
      <c r="D30" t="s">
        <v>25</v>
      </c>
      <c r="E30" s="6">
        <v>0</v>
      </c>
      <c r="F30" s="6">
        <v>24</v>
      </c>
      <c r="G30" s="6">
        <v>24</v>
      </c>
    </row>
    <row r="31" spans="2:7" x14ac:dyDescent="0.25">
      <c r="B31" s="11">
        <v>5</v>
      </c>
      <c r="C31" t="s">
        <v>45</v>
      </c>
      <c r="D31" t="s">
        <v>26</v>
      </c>
      <c r="E31" s="6">
        <v>0</v>
      </c>
      <c r="F31" s="6">
        <v>0</v>
      </c>
      <c r="G31" s="6">
        <v>0</v>
      </c>
    </row>
    <row r="32" spans="2:7" x14ac:dyDescent="0.25">
      <c r="B32" s="11">
        <v>5</v>
      </c>
      <c r="C32" t="s">
        <v>45</v>
      </c>
      <c r="D32" t="s">
        <v>27</v>
      </c>
      <c r="E32" s="6">
        <v>0</v>
      </c>
      <c r="F32" s="6">
        <v>0</v>
      </c>
      <c r="G32" s="6">
        <v>0</v>
      </c>
    </row>
    <row r="33" spans="2:7" ht="15.75" thickBot="1" x14ac:dyDescent="0.3">
      <c r="B33" s="13"/>
      <c r="C33" s="3"/>
      <c r="D33" s="2" t="s">
        <v>42</v>
      </c>
      <c r="E33" s="72">
        <f>SUM(E24:E32)</f>
        <v>33888.921669024559</v>
      </c>
      <c r="F33" s="72">
        <f t="shared" ref="F33" si="3">SUM(F24:F32)</f>
        <v>235509.2521645657</v>
      </c>
      <c r="G33" s="72">
        <f t="shared" ref="G33" si="4">SUM(G24:G32)</f>
        <v>269398.17383359023</v>
      </c>
    </row>
    <row r="34" spans="2:7" x14ac:dyDescent="0.25">
      <c r="B34" s="11">
        <v>6</v>
      </c>
      <c r="C34" t="s">
        <v>46</v>
      </c>
      <c r="D34" t="s">
        <v>7</v>
      </c>
      <c r="E34" s="6">
        <v>0</v>
      </c>
      <c r="F34" s="6">
        <v>2584.7434487646219</v>
      </c>
      <c r="G34" s="6">
        <v>2584.7434487646219</v>
      </c>
    </row>
    <row r="35" spans="2:7" x14ac:dyDescent="0.25">
      <c r="B35" s="11">
        <v>6</v>
      </c>
      <c r="C35" t="s">
        <v>46</v>
      </c>
      <c r="D35" t="s">
        <v>6</v>
      </c>
      <c r="E35" s="6">
        <v>0</v>
      </c>
      <c r="F35" s="6">
        <v>1079.0697916807405</v>
      </c>
      <c r="G35" s="6">
        <v>1079.0697916807405</v>
      </c>
    </row>
    <row r="36" spans="2:7" x14ac:dyDescent="0.25">
      <c r="B36" s="11">
        <v>6</v>
      </c>
      <c r="C36" t="s">
        <v>46</v>
      </c>
      <c r="D36" t="s">
        <v>21</v>
      </c>
      <c r="E36" s="6">
        <v>2517.2498034076016</v>
      </c>
      <c r="F36" s="6">
        <v>476.45847094801223</v>
      </c>
      <c r="G36" s="6">
        <v>2993.7082743556139</v>
      </c>
    </row>
    <row r="37" spans="2:7" x14ac:dyDescent="0.25">
      <c r="B37" s="11">
        <v>6</v>
      </c>
      <c r="C37" t="s">
        <v>46</v>
      </c>
      <c r="D37" t="s">
        <v>22</v>
      </c>
      <c r="E37" s="6">
        <v>22.280595416358626</v>
      </c>
      <c r="F37" s="6">
        <v>97.040057853350348</v>
      </c>
      <c r="G37" s="6">
        <v>119.32065326970898</v>
      </c>
    </row>
    <row r="38" spans="2:7" x14ac:dyDescent="0.25">
      <c r="B38" s="11">
        <v>6</v>
      </c>
      <c r="C38" t="s">
        <v>46</v>
      </c>
      <c r="D38" t="s">
        <v>23</v>
      </c>
      <c r="E38" s="6">
        <v>0</v>
      </c>
      <c r="F38" s="6">
        <v>115.96700912073311</v>
      </c>
      <c r="G38" s="6">
        <v>115.96700912073311</v>
      </c>
    </row>
    <row r="39" spans="2:7" x14ac:dyDescent="0.25">
      <c r="B39" s="11">
        <v>6</v>
      </c>
      <c r="C39" t="s">
        <v>46</v>
      </c>
      <c r="D39" t="s">
        <v>24</v>
      </c>
      <c r="E39" s="6">
        <v>0</v>
      </c>
      <c r="F39" s="6">
        <v>392.959</v>
      </c>
      <c r="G39" s="6">
        <v>392.959</v>
      </c>
    </row>
    <row r="40" spans="2:7" x14ac:dyDescent="0.25">
      <c r="B40" s="11">
        <v>6</v>
      </c>
      <c r="C40" t="s">
        <v>46</v>
      </c>
      <c r="D40" t="s">
        <v>25</v>
      </c>
      <c r="E40" s="6">
        <v>0</v>
      </c>
      <c r="F40" s="6">
        <v>250.251</v>
      </c>
      <c r="G40" s="6">
        <v>250.251</v>
      </c>
    </row>
    <row r="41" spans="2:7" x14ac:dyDescent="0.25">
      <c r="B41" s="11">
        <v>6</v>
      </c>
      <c r="C41" t="s">
        <v>46</v>
      </c>
      <c r="D41" t="s">
        <v>26</v>
      </c>
      <c r="E41" s="6">
        <v>0</v>
      </c>
      <c r="F41" s="6">
        <v>0</v>
      </c>
      <c r="G41" s="6">
        <v>0</v>
      </c>
    </row>
    <row r="42" spans="2:7" x14ac:dyDescent="0.25">
      <c r="B42" s="11">
        <v>6</v>
      </c>
      <c r="C42" t="s">
        <v>46</v>
      </c>
      <c r="D42" t="s">
        <v>27</v>
      </c>
      <c r="E42" s="6">
        <v>1463.0833916666666</v>
      </c>
      <c r="F42" s="6">
        <v>0</v>
      </c>
      <c r="G42" s="6">
        <v>1463.0833916666666</v>
      </c>
    </row>
    <row r="43" spans="2:7" ht="15.75" thickBot="1" x14ac:dyDescent="0.3">
      <c r="B43" s="13"/>
      <c r="C43" s="3"/>
      <c r="D43" s="2" t="s">
        <v>42</v>
      </c>
      <c r="E43" s="72">
        <f>SUM(E34:E42)</f>
        <v>4002.6137904906268</v>
      </c>
      <c r="F43" s="72">
        <f t="shared" ref="F43" si="5">SUM(F34:F42)</f>
        <v>4996.4887783674576</v>
      </c>
      <c r="G43" s="72">
        <f t="shared" ref="G43" si="6">SUM(G34:G42)</f>
        <v>8999.1025688580849</v>
      </c>
    </row>
    <row r="44" spans="2:7" x14ac:dyDescent="0.25">
      <c r="B44" s="11">
        <v>7</v>
      </c>
      <c r="C44" t="s">
        <v>47</v>
      </c>
      <c r="D44" t="s">
        <v>7</v>
      </c>
      <c r="E44" s="6">
        <v>1287.22</v>
      </c>
      <c r="F44" s="6">
        <v>768.90613643966105</v>
      </c>
      <c r="G44" s="6">
        <v>2056.126136439661</v>
      </c>
    </row>
    <row r="45" spans="2:7" x14ac:dyDescent="0.25">
      <c r="B45" s="11">
        <v>7</v>
      </c>
      <c r="C45" t="s">
        <v>47</v>
      </c>
      <c r="D45" t="s">
        <v>6</v>
      </c>
      <c r="E45" s="6">
        <v>0</v>
      </c>
      <c r="F45" s="6">
        <v>102.42504385916386</v>
      </c>
      <c r="G45" s="6">
        <v>102.42504385916386</v>
      </c>
    </row>
    <row r="46" spans="2:7" x14ac:dyDescent="0.25">
      <c r="B46" s="11">
        <v>7</v>
      </c>
      <c r="C46" t="s">
        <v>47</v>
      </c>
      <c r="D46" t="s">
        <v>21</v>
      </c>
      <c r="E46" s="6">
        <v>53926.235662115658</v>
      </c>
      <c r="F46" s="6">
        <v>1718.6936969696967</v>
      </c>
      <c r="G46" s="6">
        <v>55644.929359085356</v>
      </c>
    </row>
    <row r="47" spans="2:7" x14ac:dyDescent="0.25">
      <c r="B47" s="11">
        <v>7</v>
      </c>
      <c r="C47" t="s">
        <v>47</v>
      </c>
      <c r="D47" t="s">
        <v>22</v>
      </c>
      <c r="E47" s="6">
        <v>335.72787149674036</v>
      </c>
      <c r="F47" s="6">
        <v>353.04036041950576</v>
      </c>
      <c r="G47" s="6">
        <v>688.76823191624612</v>
      </c>
    </row>
    <row r="48" spans="2:7" x14ac:dyDescent="0.25">
      <c r="B48" s="11">
        <v>7</v>
      </c>
      <c r="C48" t="s">
        <v>47</v>
      </c>
      <c r="D48" t="s">
        <v>23</v>
      </c>
      <c r="E48" s="6">
        <v>1.9602517715152017</v>
      </c>
      <c r="F48" s="6">
        <v>130.00368608351667</v>
      </c>
      <c r="G48" s="6">
        <v>131.96393785503187</v>
      </c>
    </row>
    <row r="49" spans="2:7" x14ac:dyDescent="0.25">
      <c r="B49" s="11">
        <v>7</v>
      </c>
      <c r="C49" t="s">
        <v>47</v>
      </c>
      <c r="D49" t="s">
        <v>24</v>
      </c>
      <c r="E49" s="6">
        <v>0</v>
      </c>
      <c r="F49" s="6">
        <v>0</v>
      </c>
      <c r="G49" s="6">
        <v>0</v>
      </c>
    </row>
    <row r="50" spans="2:7" x14ac:dyDescent="0.25">
      <c r="B50" s="11">
        <v>7</v>
      </c>
      <c r="C50" t="s">
        <v>47</v>
      </c>
      <c r="D50" t="s">
        <v>25</v>
      </c>
      <c r="E50" s="6">
        <v>0</v>
      </c>
      <c r="F50" s="6">
        <v>6</v>
      </c>
      <c r="G50" s="6">
        <v>6</v>
      </c>
    </row>
    <row r="51" spans="2:7" x14ac:dyDescent="0.25">
      <c r="B51" s="11">
        <v>7</v>
      </c>
      <c r="C51" t="s">
        <v>47</v>
      </c>
      <c r="D51" t="s">
        <v>26</v>
      </c>
      <c r="E51" s="6">
        <v>0</v>
      </c>
      <c r="F51" s="6">
        <v>0</v>
      </c>
      <c r="G51" s="6">
        <v>0</v>
      </c>
    </row>
    <row r="52" spans="2:7" x14ac:dyDescent="0.25">
      <c r="B52" s="11">
        <v>7</v>
      </c>
      <c r="C52" t="s">
        <v>47</v>
      </c>
      <c r="D52" t="s">
        <v>27</v>
      </c>
      <c r="E52" s="6">
        <v>10487.968170571019</v>
      </c>
      <c r="F52" s="6">
        <v>0</v>
      </c>
      <c r="G52" s="6">
        <v>10487.968170571019</v>
      </c>
    </row>
    <row r="53" spans="2:7" ht="15.75" thickBot="1" x14ac:dyDescent="0.3">
      <c r="B53" s="13"/>
      <c r="C53" s="3"/>
      <c r="D53" s="2" t="s">
        <v>42</v>
      </c>
      <c r="E53" s="72">
        <f>SUM(E44:E52)</f>
        <v>66039.111955954941</v>
      </c>
      <c r="F53" s="72">
        <f t="shared" ref="F53" si="7">SUM(F44:F52)</f>
        <v>3079.0689237715442</v>
      </c>
      <c r="G53" s="72">
        <f t="shared" ref="G53" si="8">SUM(G44:G52)</f>
        <v>69118.180879726482</v>
      </c>
    </row>
    <row r="54" spans="2:7" x14ac:dyDescent="0.25">
      <c r="B54" s="11">
        <v>9</v>
      </c>
      <c r="C54" t="s">
        <v>48</v>
      </c>
      <c r="D54" t="s">
        <v>7</v>
      </c>
      <c r="E54" s="6">
        <v>0</v>
      </c>
      <c r="F54" s="6">
        <v>4893.5237818327996</v>
      </c>
      <c r="G54" s="6">
        <v>4893.5237818327996</v>
      </c>
    </row>
    <row r="55" spans="2:7" x14ac:dyDescent="0.25">
      <c r="B55" s="11">
        <v>9</v>
      </c>
      <c r="C55" t="s">
        <v>48</v>
      </c>
      <c r="D55" t="s">
        <v>6</v>
      </c>
      <c r="E55" s="6">
        <v>0</v>
      </c>
      <c r="F55" s="6">
        <v>172.82597478128085</v>
      </c>
      <c r="G55" s="6">
        <v>172.82597478128085</v>
      </c>
    </row>
    <row r="56" spans="2:7" x14ac:dyDescent="0.25">
      <c r="B56" s="11">
        <v>9</v>
      </c>
      <c r="C56" t="s">
        <v>48</v>
      </c>
      <c r="D56" t="s">
        <v>21</v>
      </c>
      <c r="E56" s="6">
        <v>0</v>
      </c>
      <c r="F56" s="6">
        <v>188285.98953136749</v>
      </c>
      <c r="G56" s="6">
        <v>188285.98953136749</v>
      </c>
    </row>
    <row r="57" spans="2:7" x14ac:dyDescent="0.25">
      <c r="B57" s="11">
        <v>9</v>
      </c>
      <c r="C57" t="s">
        <v>48</v>
      </c>
      <c r="D57" t="s">
        <v>22</v>
      </c>
      <c r="E57" s="6">
        <v>270.01382590227837</v>
      </c>
      <c r="F57" s="6">
        <v>6936.3710565943056</v>
      </c>
      <c r="G57" s="6">
        <v>7206.3848824965835</v>
      </c>
    </row>
    <row r="58" spans="2:7" x14ac:dyDescent="0.25">
      <c r="B58" s="11">
        <v>9</v>
      </c>
      <c r="C58" t="s">
        <v>48</v>
      </c>
      <c r="D58" t="s">
        <v>23</v>
      </c>
      <c r="E58" s="6">
        <v>0.20714989366305459</v>
      </c>
      <c r="F58" s="6">
        <v>1033.6163146265767</v>
      </c>
      <c r="G58" s="6">
        <v>1033.8234645202397</v>
      </c>
    </row>
    <row r="59" spans="2:7" x14ac:dyDescent="0.25">
      <c r="B59" s="11">
        <v>9</v>
      </c>
      <c r="C59" t="s">
        <v>48</v>
      </c>
      <c r="D59" t="s">
        <v>24</v>
      </c>
      <c r="E59" s="6">
        <v>0</v>
      </c>
      <c r="F59" s="6">
        <v>0</v>
      </c>
      <c r="G59" s="6">
        <v>0</v>
      </c>
    </row>
    <row r="60" spans="2:7" x14ac:dyDescent="0.25">
      <c r="B60" s="11">
        <v>9</v>
      </c>
      <c r="C60" t="s">
        <v>48</v>
      </c>
      <c r="D60" t="s">
        <v>25</v>
      </c>
      <c r="E60" s="6">
        <v>0</v>
      </c>
      <c r="F60" s="6">
        <v>0.4</v>
      </c>
      <c r="G60" s="6">
        <v>0.4</v>
      </c>
    </row>
    <row r="61" spans="2:7" x14ac:dyDescent="0.25">
      <c r="B61" s="11">
        <v>9</v>
      </c>
      <c r="C61" t="s">
        <v>48</v>
      </c>
      <c r="D61" t="s">
        <v>26</v>
      </c>
      <c r="E61" s="6">
        <v>0</v>
      </c>
      <c r="F61" s="6">
        <v>0</v>
      </c>
      <c r="G61" s="6">
        <v>0</v>
      </c>
    </row>
    <row r="62" spans="2:7" x14ac:dyDescent="0.25">
      <c r="B62" s="11">
        <v>9</v>
      </c>
      <c r="C62" t="s">
        <v>48</v>
      </c>
      <c r="D62" t="s">
        <v>27</v>
      </c>
      <c r="E62" s="6">
        <v>0</v>
      </c>
      <c r="F62" s="6">
        <v>0</v>
      </c>
      <c r="G62" s="6">
        <v>0</v>
      </c>
    </row>
    <row r="63" spans="2:7" ht="15.75" thickBot="1" x14ac:dyDescent="0.3">
      <c r="B63" s="13"/>
      <c r="C63" s="3"/>
      <c r="D63" s="2" t="s">
        <v>42</v>
      </c>
      <c r="E63" s="72">
        <f>SUM(E54:E62)</f>
        <v>270.2209757959414</v>
      </c>
      <c r="F63" s="72">
        <f t="shared" ref="F63" si="9">SUM(F54:F62)</f>
        <v>201322.72665920245</v>
      </c>
      <c r="G63" s="72">
        <f t="shared" ref="G63" si="10">SUM(G54:G62)</f>
        <v>201592.94763499839</v>
      </c>
    </row>
    <row r="64" spans="2:7" x14ac:dyDescent="0.25">
      <c r="B64" s="11">
        <v>11</v>
      </c>
      <c r="C64" t="s">
        <v>49</v>
      </c>
      <c r="D64" t="s">
        <v>7</v>
      </c>
      <c r="E64" s="6">
        <v>0</v>
      </c>
      <c r="F64" s="6">
        <v>629.72840231885129</v>
      </c>
      <c r="G64" s="6">
        <v>629.72840231885129</v>
      </c>
    </row>
    <row r="65" spans="2:7" x14ac:dyDescent="0.25">
      <c r="B65" s="11">
        <v>11</v>
      </c>
      <c r="C65" t="s">
        <v>49</v>
      </c>
      <c r="D65" t="s">
        <v>6</v>
      </c>
      <c r="E65" s="6">
        <v>0</v>
      </c>
      <c r="F65" s="6">
        <v>22.761120857591973</v>
      </c>
      <c r="G65" s="6">
        <v>22.761120857591973</v>
      </c>
    </row>
    <row r="66" spans="2:7" x14ac:dyDescent="0.25">
      <c r="B66" s="11">
        <v>11</v>
      </c>
      <c r="C66" t="s">
        <v>49</v>
      </c>
      <c r="D66" t="s">
        <v>21</v>
      </c>
      <c r="E66" s="6">
        <v>42542</v>
      </c>
      <c r="F66" s="6">
        <v>10343.138403846153</v>
      </c>
      <c r="G66" s="6">
        <v>52885.138403846155</v>
      </c>
    </row>
    <row r="67" spans="2:7" x14ac:dyDescent="0.25">
      <c r="B67" s="11">
        <v>11</v>
      </c>
      <c r="C67" t="s">
        <v>49</v>
      </c>
      <c r="D67" t="s">
        <v>22</v>
      </c>
      <c r="E67" s="6">
        <v>61.242063758765148</v>
      </c>
      <c r="F67" s="6">
        <v>249.28959774347726</v>
      </c>
      <c r="G67" s="6">
        <v>310.53166150224234</v>
      </c>
    </row>
    <row r="68" spans="2:7" x14ac:dyDescent="0.25">
      <c r="B68" s="11">
        <v>11</v>
      </c>
      <c r="C68" t="s">
        <v>49</v>
      </c>
      <c r="D68" t="s">
        <v>23</v>
      </c>
      <c r="E68" s="6">
        <v>0</v>
      </c>
      <c r="F68" s="6">
        <v>90.709299787326117</v>
      </c>
      <c r="G68" s="6">
        <v>90.709299787326117</v>
      </c>
    </row>
    <row r="69" spans="2:7" x14ac:dyDescent="0.25">
      <c r="B69" s="11">
        <v>11</v>
      </c>
      <c r="C69" t="s">
        <v>49</v>
      </c>
      <c r="D69" t="s">
        <v>24</v>
      </c>
      <c r="E69" s="6">
        <v>0</v>
      </c>
      <c r="F69" s="6">
        <v>0</v>
      </c>
      <c r="G69" s="6">
        <v>0</v>
      </c>
    </row>
    <row r="70" spans="2:7" x14ac:dyDescent="0.25">
      <c r="B70" s="11">
        <v>11</v>
      </c>
      <c r="C70" t="s">
        <v>49</v>
      </c>
      <c r="D70" t="s">
        <v>25</v>
      </c>
      <c r="E70" s="6">
        <v>0</v>
      </c>
      <c r="F70" s="6">
        <v>12</v>
      </c>
      <c r="G70" s="6">
        <v>12</v>
      </c>
    </row>
    <row r="71" spans="2:7" x14ac:dyDescent="0.25">
      <c r="B71" s="11">
        <v>11</v>
      </c>
      <c r="C71" t="s">
        <v>49</v>
      </c>
      <c r="D71" t="s">
        <v>26</v>
      </c>
      <c r="E71" s="6">
        <v>0</v>
      </c>
      <c r="F71" s="6">
        <v>0</v>
      </c>
      <c r="G71" s="6">
        <v>0</v>
      </c>
    </row>
    <row r="72" spans="2:7" x14ac:dyDescent="0.25">
      <c r="B72" s="11">
        <v>11</v>
      </c>
      <c r="C72" t="s">
        <v>49</v>
      </c>
      <c r="D72" t="s">
        <v>27</v>
      </c>
      <c r="E72" s="6">
        <v>7727.1394999999993</v>
      </c>
      <c r="F72" s="6">
        <v>0</v>
      </c>
      <c r="G72" s="6">
        <v>7727.1394999999993</v>
      </c>
    </row>
    <row r="73" spans="2:7" ht="15.75" thickBot="1" x14ac:dyDescent="0.3">
      <c r="B73" s="13"/>
      <c r="C73" s="3"/>
      <c r="D73" s="2" t="s">
        <v>42</v>
      </c>
      <c r="E73" s="72">
        <f>SUM(E64:E72)</f>
        <v>50330.381563758761</v>
      </c>
      <c r="F73" s="72">
        <f t="shared" ref="F73" si="11">SUM(F64:F72)</f>
        <v>11347.626824553399</v>
      </c>
      <c r="G73" s="72">
        <f t="shared" ref="G73" si="12">SUM(G64:G72)</f>
        <v>61678.00838831217</v>
      </c>
    </row>
    <row r="74" spans="2:7" x14ac:dyDescent="0.25">
      <c r="B74" s="11">
        <v>13</v>
      </c>
      <c r="C74" t="s">
        <v>50</v>
      </c>
      <c r="D74" t="s">
        <v>7</v>
      </c>
      <c r="E74" s="6">
        <v>0</v>
      </c>
      <c r="F74" s="6">
        <v>36690.442440000006</v>
      </c>
      <c r="G74" s="6">
        <v>36690.442440000006</v>
      </c>
    </row>
    <row r="75" spans="2:7" x14ac:dyDescent="0.25">
      <c r="B75" s="11">
        <v>13</v>
      </c>
      <c r="C75" t="s">
        <v>50</v>
      </c>
      <c r="D75" t="s">
        <v>6</v>
      </c>
      <c r="E75" s="6">
        <v>0</v>
      </c>
      <c r="F75" s="6">
        <v>1206.6082375884876</v>
      </c>
      <c r="G75" s="6">
        <v>1206.6082375884876</v>
      </c>
    </row>
    <row r="76" spans="2:7" x14ac:dyDescent="0.25">
      <c r="B76" s="11">
        <v>13</v>
      </c>
      <c r="C76" t="s">
        <v>50</v>
      </c>
      <c r="D76" t="s">
        <v>21</v>
      </c>
      <c r="E76" s="6">
        <v>191447.31796448037</v>
      </c>
      <c r="F76" s="6">
        <v>218660.18794941291</v>
      </c>
      <c r="G76" s="6">
        <v>410107.50591389328</v>
      </c>
    </row>
    <row r="77" spans="2:7" x14ac:dyDescent="0.25">
      <c r="B77" s="11">
        <v>13</v>
      </c>
      <c r="C77" t="s">
        <v>50</v>
      </c>
      <c r="D77" t="s">
        <v>22</v>
      </c>
      <c r="E77" s="6">
        <v>135.30380625938122</v>
      </c>
      <c r="F77" s="6">
        <v>2967.3444899970877</v>
      </c>
      <c r="G77" s="6">
        <v>3102.6482962564692</v>
      </c>
    </row>
    <row r="78" spans="2:7" x14ac:dyDescent="0.25">
      <c r="B78" s="11">
        <v>13</v>
      </c>
      <c r="C78" t="s">
        <v>50</v>
      </c>
      <c r="D78" t="s">
        <v>23</v>
      </c>
      <c r="E78" s="6">
        <v>0</v>
      </c>
      <c r="F78" s="6">
        <v>6596.5066170470063</v>
      </c>
      <c r="G78" s="6">
        <v>6596.5066170470063</v>
      </c>
    </row>
    <row r="79" spans="2:7" x14ac:dyDescent="0.25">
      <c r="B79" s="11">
        <v>13</v>
      </c>
      <c r="C79" t="s">
        <v>50</v>
      </c>
      <c r="D79" t="s">
        <v>24</v>
      </c>
      <c r="E79" s="6">
        <v>0</v>
      </c>
      <c r="F79" s="6">
        <v>288.63899999999995</v>
      </c>
      <c r="G79" s="6">
        <v>288.63899999999995</v>
      </c>
    </row>
    <row r="80" spans="2:7" x14ac:dyDescent="0.25">
      <c r="B80" s="11">
        <v>13</v>
      </c>
      <c r="C80" t="s">
        <v>50</v>
      </c>
      <c r="D80" t="s">
        <v>25</v>
      </c>
      <c r="E80" s="6">
        <v>0</v>
      </c>
      <c r="F80" s="6">
        <v>151.43288421395056</v>
      </c>
      <c r="G80" s="6">
        <v>151.43288421395056</v>
      </c>
    </row>
    <row r="81" spans="2:7" x14ac:dyDescent="0.25">
      <c r="B81" s="11">
        <v>13</v>
      </c>
      <c r="C81" t="s">
        <v>50</v>
      </c>
      <c r="D81" t="s">
        <v>26</v>
      </c>
      <c r="E81" s="6">
        <v>0</v>
      </c>
      <c r="F81" s="6">
        <v>1846.0330000000001</v>
      </c>
      <c r="G81" s="6">
        <v>1846.0330000000001</v>
      </c>
    </row>
    <row r="82" spans="2:7" x14ac:dyDescent="0.25">
      <c r="B82" s="11">
        <v>13</v>
      </c>
      <c r="C82" t="s">
        <v>50</v>
      </c>
      <c r="D82" t="s">
        <v>27</v>
      </c>
      <c r="E82" s="6">
        <v>0</v>
      </c>
      <c r="F82" s="6">
        <v>0</v>
      </c>
      <c r="G82" s="6">
        <v>0</v>
      </c>
    </row>
    <row r="83" spans="2:7" ht="15.75" thickBot="1" x14ac:dyDescent="0.3">
      <c r="B83" s="13"/>
      <c r="C83" s="3"/>
      <c r="D83" s="2" t="s">
        <v>42</v>
      </c>
      <c r="E83" s="72">
        <f>SUM(E74:E82)</f>
        <v>191582.62177073976</v>
      </c>
      <c r="F83" s="72">
        <f t="shared" ref="F83" si="13">SUM(F74:F82)</f>
        <v>268407.19461825944</v>
      </c>
      <c r="G83" s="72">
        <f t="shared" ref="G83" si="14">SUM(G74:G82)</f>
        <v>459989.81638899923</v>
      </c>
    </row>
    <row r="84" spans="2:7" x14ac:dyDescent="0.25">
      <c r="B84" s="11">
        <v>15</v>
      </c>
      <c r="C84" t="s">
        <v>51</v>
      </c>
      <c r="D84" t="s">
        <v>7</v>
      </c>
      <c r="E84" s="6">
        <v>0</v>
      </c>
      <c r="F84" s="6">
        <v>16595.682706328967</v>
      </c>
      <c r="G84" s="6">
        <v>16595.682706328967</v>
      </c>
    </row>
    <row r="85" spans="2:7" x14ac:dyDescent="0.25">
      <c r="B85" s="11">
        <v>15</v>
      </c>
      <c r="C85" t="s">
        <v>51</v>
      </c>
      <c r="D85" t="s">
        <v>6</v>
      </c>
      <c r="E85" s="6">
        <v>0</v>
      </c>
      <c r="F85" s="6">
        <v>422.96256081824441</v>
      </c>
      <c r="G85" s="6">
        <v>422.96256081824441</v>
      </c>
    </row>
    <row r="86" spans="2:7" x14ac:dyDescent="0.25">
      <c r="B86" s="11">
        <v>15</v>
      </c>
      <c r="C86" t="s">
        <v>51</v>
      </c>
      <c r="D86" t="s">
        <v>21</v>
      </c>
      <c r="E86" s="6">
        <v>69613.897878787873</v>
      </c>
      <c r="F86" s="6">
        <v>115027.969658792</v>
      </c>
      <c r="G86" s="6">
        <v>184641.86753757988</v>
      </c>
    </row>
    <row r="87" spans="2:7" x14ac:dyDescent="0.25">
      <c r="B87" s="11">
        <v>15</v>
      </c>
      <c r="C87" t="s">
        <v>51</v>
      </c>
      <c r="D87" t="s">
        <v>22</v>
      </c>
      <c r="E87" s="6">
        <v>49.433653695364832</v>
      </c>
      <c r="F87" s="6">
        <v>1602.4005974863901</v>
      </c>
      <c r="G87" s="6">
        <v>1651.834251181755</v>
      </c>
    </row>
    <row r="88" spans="2:7" x14ac:dyDescent="0.25">
      <c r="B88" s="11">
        <v>15</v>
      </c>
      <c r="C88" t="s">
        <v>51</v>
      </c>
      <c r="D88" t="s">
        <v>23</v>
      </c>
      <c r="E88" s="6">
        <v>0</v>
      </c>
      <c r="F88" s="6">
        <v>802.38468941019062</v>
      </c>
      <c r="G88" s="6">
        <v>802.38468941019062</v>
      </c>
    </row>
    <row r="89" spans="2:7" x14ac:dyDescent="0.25">
      <c r="B89" s="11">
        <v>15</v>
      </c>
      <c r="C89" t="s">
        <v>51</v>
      </c>
      <c r="D89" t="s">
        <v>24</v>
      </c>
      <c r="E89" s="6">
        <v>0</v>
      </c>
      <c r="F89" s="6">
        <v>2291.8919999999998</v>
      </c>
      <c r="G89" s="6">
        <v>2291.8919999999998</v>
      </c>
    </row>
    <row r="90" spans="2:7" x14ac:dyDescent="0.25">
      <c r="B90" s="11">
        <v>15</v>
      </c>
      <c r="C90" t="s">
        <v>51</v>
      </c>
      <c r="D90" t="s">
        <v>25</v>
      </c>
      <c r="E90" s="6">
        <v>0</v>
      </c>
      <c r="F90" s="6">
        <v>21044.274299145931</v>
      </c>
      <c r="G90" s="6">
        <v>21044.274299145931</v>
      </c>
    </row>
    <row r="91" spans="2:7" x14ac:dyDescent="0.25">
      <c r="B91" s="11">
        <v>15</v>
      </c>
      <c r="C91" t="s">
        <v>51</v>
      </c>
      <c r="D91" t="s">
        <v>26</v>
      </c>
      <c r="E91" s="6">
        <v>0</v>
      </c>
      <c r="F91" s="6">
        <v>0</v>
      </c>
      <c r="G91" s="6">
        <v>0</v>
      </c>
    </row>
    <row r="92" spans="2:7" x14ac:dyDescent="0.25">
      <c r="B92" s="11">
        <v>15</v>
      </c>
      <c r="C92" t="s">
        <v>51</v>
      </c>
      <c r="D92" t="s">
        <v>27</v>
      </c>
      <c r="E92" s="6">
        <v>21130.801883180564</v>
      </c>
      <c r="F92" s="6">
        <v>0</v>
      </c>
      <c r="G92" s="6">
        <v>21130.801883180564</v>
      </c>
    </row>
    <row r="93" spans="2:7" ht="15.75" thickBot="1" x14ac:dyDescent="0.3">
      <c r="B93" s="13"/>
      <c r="C93" s="3"/>
      <c r="D93" s="2" t="s">
        <v>42</v>
      </c>
      <c r="E93" s="72">
        <f>SUM(E84:E92)</f>
        <v>90794.133415663804</v>
      </c>
      <c r="F93" s="72">
        <f t="shared" ref="F93" si="15">SUM(F84:F92)</f>
        <v>157787.56651198171</v>
      </c>
      <c r="G93" s="72">
        <f t="shared" ref="G93" si="16">SUM(G84:G92)</f>
        <v>248581.69992764553</v>
      </c>
    </row>
    <row r="94" spans="2:7" x14ac:dyDescent="0.25">
      <c r="B94" s="11">
        <v>17</v>
      </c>
      <c r="C94" t="s">
        <v>52</v>
      </c>
      <c r="D94" t="s">
        <v>7</v>
      </c>
      <c r="E94" s="6">
        <v>0</v>
      </c>
      <c r="F94" s="6">
        <v>2977.9311259176739</v>
      </c>
      <c r="G94" s="6">
        <v>2977.9311259176739</v>
      </c>
    </row>
    <row r="95" spans="2:7" x14ac:dyDescent="0.25">
      <c r="B95" s="11">
        <v>17</v>
      </c>
      <c r="C95" t="s">
        <v>52</v>
      </c>
      <c r="D95" t="s">
        <v>6</v>
      </c>
      <c r="E95" s="6">
        <v>0</v>
      </c>
      <c r="F95" s="6">
        <v>289.42330643300807</v>
      </c>
      <c r="G95" s="6">
        <v>289.42330643300807</v>
      </c>
    </row>
    <row r="96" spans="2:7" x14ac:dyDescent="0.25">
      <c r="B96" s="11">
        <v>17</v>
      </c>
      <c r="C96" t="s">
        <v>52</v>
      </c>
      <c r="D96" t="s">
        <v>21</v>
      </c>
      <c r="E96" s="6">
        <v>28878.062827342401</v>
      </c>
      <c r="F96" s="6">
        <v>4540.2311540933042</v>
      </c>
      <c r="G96" s="6">
        <v>33418.293981435709</v>
      </c>
    </row>
    <row r="97" spans="2:7" x14ac:dyDescent="0.25">
      <c r="B97" s="11">
        <v>17</v>
      </c>
      <c r="C97" t="s">
        <v>52</v>
      </c>
      <c r="D97" t="s">
        <v>22</v>
      </c>
      <c r="E97" s="6">
        <v>136.69188341510406</v>
      </c>
      <c r="F97" s="6">
        <v>156.24461533804123</v>
      </c>
      <c r="G97" s="6">
        <v>292.93649875314532</v>
      </c>
    </row>
    <row r="98" spans="2:7" x14ac:dyDescent="0.25">
      <c r="B98" s="11">
        <v>17</v>
      </c>
      <c r="C98" t="s">
        <v>52</v>
      </c>
      <c r="D98" t="s">
        <v>23</v>
      </c>
      <c r="E98" s="6">
        <v>0</v>
      </c>
      <c r="F98" s="6">
        <v>114.57909655947046</v>
      </c>
      <c r="G98" s="6">
        <v>114.57909655947046</v>
      </c>
    </row>
    <row r="99" spans="2:7" x14ac:dyDescent="0.25">
      <c r="B99" s="11">
        <v>17</v>
      </c>
      <c r="C99" t="s">
        <v>52</v>
      </c>
      <c r="D99" t="s">
        <v>24</v>
      </c>
      <c r="E99" s="6">
        <v>0</v>
      </c>
      <c r="F99" s="6">
        <v>0</v>
      </c>
      <c r="G99" s="6">
        <v>0</v>
      </c>
    </row>
    <row r="100" spans="2:7" x14ac:dyDescent="0.25">
      <c r="B100" s="11">
        <v>17</v>
      </c>
      <c r="C100" t="s">
        <v>52</v>
      </c>
      <c r="D100" t="s">
        <v>25</v>
      </c>
      <c r="E100" s="6">
        <v>0</v>
      </c>
      <c r="F100" s="6">
        <v>15612.053974485272</v>
      </c>
      <c r="G100" s="6">
        <v>15612.053974485272</v>
      </c>
    </row>
    <row r="101" spans="2:7" x14ac:dyDescent="0.25">
      <c r="B101" s="11">
        <v>17</v>
      </c>
      <c r="C101" t="s">
        <v>52</v>
      </c>
      <c r="D101" t="s">
        <v>26</v>
      </c>
      <c r="E101" s="6">
        <v>0</v>
      </c>
      <c r="F101" s="6">
        <v>0</v>
      </c>
      <c r="G101" s="6">
        <v>0</v>
      </c>
    </row>
    <row r="102" spans="2:7" x14ac:dyDescent="0.25">
      <c r="B102" s="11">
        <v>17</v>
      </c>
      <c r="C102" t="s">
        <v>52</v>
      </c>
      <c r="D102" t="s">
        <v>27</v>
      </c>
      <c r="E102" s="6">
        <v>0</v>
      </c>
      <c r="F102" s="6">
        <v>0</v>
      </c>
      <c r="G102" s="6">
        <v>0</v>
      </c>
    </row>
    <row r="103" spans="2:7" ht="15.75" thickBot="1" x14ac:dyDescent="0.3">
      <c r="B103" s="13"/>
      <c r="C103" s="3"/>
      <c r="D103" s="2" t="s">
        <v>42</v>
      </c>
      <c r="E103" s="72">
        <f>SUM(E94:E102)</f>
        <v>29014.754710757505</v>
      </c>
      <c r="F103" s="72">
        <f t="shared" ref="F103" si="17">SUM(F94:F102)</f>
        <v>23690.463272826772</v>
      </c>
      <c r="G103" s="72">
        <f t="shared" ref="G103" si="18">SUM(G94:G102)</f>
        <v>52705.217983584276</v>
      </c>
    </row>
    <row r="104" spans="2:7" x14ac:dyDescent="0.25">
      <c r="B104" s="11">
        <v>19</v>
      </c>
      <c r="C104" t="s">
        <v>53</v>
      </c>
      <c r="D104" t="s">
        <v>7</v>
      </c>
      <c r="E104" s="6">
        <v>39.869999999999997</v>
      </c>
      <c r="F104" s="6">
        <v>637.02379815314362</v>
      </c>
      <c r="G104" s="6">
        <v>676.89379815314362</v>
      </c>
    </row>
    <row r="105" spans="2:7" x14ac:dyDescent="0.25">
      <c r="B105" s="11">
        <v>19</v>
      </c>
      <c r="C105" t="s">
        <v>53</v>
      </c>
      <c r="D105" t="s">
        <v>6</v>
      </c>
      <c r="E105" s="6">
        <v>0</v>
      </c>
      <c r="F105" s="6">
        <v>45.880684563334981</v>
      </c>
      <c r="G105" s="6">
        <v>45.880684563334981</v>
      </c>
    </row>
    <row r="106" spans="2:7" x14ac:dyDescent="0.25">
      <c r="B106" s="11">
        <v>19</v>
      </c>
      <c r="C106" t="s">
        <v>53</v>
      </c>
      <c r="D106" t="s">
        <v>21</v>
      </c>
      <c r="E106" s="6">
        <v>20649.26746969697</v>
      </c>
      <c r="F106" s="6">
        <v>0</v>
      </c>
      <c r="G106" s="6">
        <v>20649.26746969697</v>
      </c>
    </row>
    <row r="107" spans="2:7" x14ac:dyDescent="0.25">
      <c r="B107" s="11">
        <v>19</v>
      </c>
      <c r="C107" t="s">
        <v>53</v>
      </c>
      <c r="D107" t="s">
        <v>22</v>
      </c>
      <c r="E107" s="6">
        <v>60.937546161256371</v>
      </c>
      <c r="F107" s="6">
        <v>244.93265120863862</v>
      </c>
      <c r="G107" s="6">
        <v>305.87019736989498</v>
      </c>
    </row>
    <row r="108" spans="2:7" x14ac:dyDescent="0.25">
      <c r="B108" s="11">
        <v>19</v>
      </c>
      <c r="C108" t="s">
        <v>53</v>
      </c>
      <c r="D108" t="s">
        <v>23</v>
      </c>
      <c r="E108" s="6">
        <v>5212.28</v>
      </c>
      <c r="F108" s="6">
        <v>377.92709862860414</v>
      </c>
      <c r="G108" s="6">
        <v>5590.2070986286035</v>
      </c>
    </row>
    <row r="109" spans="2:7" x14ac:dyDescent="0.25">
      <c r="B109" s="11">
        <v>19</v>
      </c>
      <c r="C109" t="s">
        <v>53</v>
      </c>
      <c r="D109" t="s">
        <v>24</v>
      </c>
      <c r="E109" s="6">
        <v>0</v>
      </c>
      <c r="F109" s="6">
        <v>0</v>
      </c>
      <c r="G109" s="6">
        <v>0</v>
      </c>
    </row>
    <row r="110" spans="2:7" x14ac:dyDescent="0.25">
      <c r="B110" s="11">
        <v>19</v>
      </c>
      <c r="C110" t="s">
        <v>53</v>
      </c>
      <c r="D110" t="s">
        <v>25</v>
      </c>
      <c r="E110" s="6">
        <v>0</v>
      </c>
      <c r="F110" s="6">
        <v>6</v>
      </c>
      <c r="G110" s="6">
        <v>6</v>
      </c>
    </row>
    <row r="111" spans="2:7" x14ac:dyDescent="0.25">
      <c r="B111" s="11">
        <v>19</v>
      </c>
      <c r="C111" t="s">
        <v>53</v>
      </c>
      <c r="D111" t="s">
        <v>26</v>
      </c>
      <c r="E111" s="6">
        <v>0</v>
      </c>
      <c r="F111" s="6">
        <v>0</v>
      </c>
      <c r="G111" s="6">
        <v>0</v>
      </c>
    </row>
    <row r="112" spans="2:7" x14ac:dyDescent="0.25">
      <c r="B112" s="11">
        <v>19</v>
      </c>
      <c r="C112" t="s">
        <v>53</v>
      </c>
      <c r="D112" t="s">
        <v>27</v>
      </c>
      <c r="E112" s="6">
        <v>7011</v>
      </c>
      <c r="F112" s="6">
        <v>0</v>
      </c>
      <c r="G112" s="6">
        <v>7011</v>
      </c>
    </row>
    <row r="113" spans="2:7" ht="15.75" thickBot="1" x14ac:dyDescent="0.3">
      <c r="B113" s="13"/>
      <c r="C113" s="3"/>
      <c r="D113" s="2" t="s">
        <v>42</v>
      </c>
      <c r="E113" s="72">
        <f>SUM(E104:E112)</f>
        <v>32973.355015858222</v>
      </c>
      <c r="F113" s="72">
        <f t="shared" ref="F113" si="19">SUM(F104:F112)</f>
        <v>1311.7642325537213</v>
      </c>
      <c r="G113" s="72">
        <f t="shared" ref="G113" si="20">SUM(G104:G112)</f>
        <v>34285.119248411946</v>
      </c>
    </row>
    <row r="114" spans="2:7" x14ac:dyDescent="0.25">
      <c r="B114" s="11">
        <v>21</v>
      </c>
      <c r="C114" t="s">
        <v>54</v>
      </c>
      <c r="D114" t="s">
        <v>7</v>
      </c>
      <c r="E114" s="6">
        <v>0</v>
      </c>
      <c r="F114" s="6">
        <v>69.537000000000006</v>
      </c>
      <c r="G114" s="6">
        <v>69.537000000000006</v>
      </c>
    </row>
    <row r="115" spans="2:7" x14ac:dyDescent="0.25">
      <c r="B115" s="11">
        <v>21</v>
      </c>
      <c r="C115" t="s">
        <v>54</v>
      </c>
      <c r="D115" t="s">
        <v>6</v>
      </c>
      <c r="E115" s="6">
        <v>0</v>
      </c>
      <c r="F115" s="6">
        <v>20.072799496459062</v>
      </c>
      <c r="G115" s="6">
        <v>20.072799496459062</v>
      </c>
    </row>
    <row r="116" spans="2:7" x14ac:dyDescent="0.25">
      <c r="B116" s="11">
        <v>21</v>
      </c>
      <c r="C116" t="s">
        <v>54</v>
      </c>
      <c r="D116" t="s">
        <v>21</v>
      </c>
      <c r="E116" s="6">
        <v>0</v>
      </c>
      <c r="F116" s="6">
        <v>5502.5780000000004</v>
      </c>
      <c r="G116" s="6">
        <v>5502.5780000000004</v>
      </c>
    </row>
    <row r="117" spans="2:7" x14ac:dyDescent="0.25">
      <c r="B117" s="11">
        <v>21</v>
      </c>
      <c r="C117" t="s">
        <v>54</v>
      </c>
      <c r="D117" t="s">
        <v>22</v>
      </c>
      <c r="E117" s="6">
        <v>69.448386351331834</v>
      </c>
      <c r="F117" s="6">
        <v>282.31983525455553</v>
      </c>
      <c r="G117" s="6">
        <v>351.76822160588733</v>
      </c>
    </row>
    <row r="118" spans="2:7" x14ac:dyDescent="0.25">
      <c r="B118" s="11">
        <v>21</v>
      </c>
      <c r="C118" t="s">
        <v>54</v>
      </c>
      <c r="D118" t="s">
        <v>23</v>
      </c>
      <c r="E118" s="6">
        <v>0</v>
      </c>
      <c r="F118" s="6">
        <v>0</v>
      </c>
      <c r="G118" s="6">
        <v>0</v>
      </c>
    </row>
    <row r="119" spans="2:7" x14ac:dyDescent="0.25">
      <c r="B119" s="11">
        <v>21</v>
      </c>
      <c r="C119" t="s">
        <v>54</v>
      </c>
      <c r="D119" t="s">
        <v>24</v>
      </c>
      <c r="E119" s="6">
        <v>0</v>
      </c>
      <c r="F119" s="6">
        <v>0</v>
      </c>
      <c r="G119" s="6">
        <v>0</v>
      </c>
    </row>
    <row r="120" spans="2:7" x14ac:dyDescent="0.25">
      <c r="B120" s="11">
        <v>21</v>
      </c>
      <c r="C120" t="s">
        <v>54</v>
      </c>
      <c r="D120" t="s">
        <v>25</v>
      </c>
      <c r="E120" s="6">
        <v>0</v>
      </c>
      <c r="F120" s="6">
        <v>0</v>
      </c>
      <c r="G120" s="6">
        <v>0</v>
      </c>
    </row>
    <row r="121" spans="2:7" x14ac:dyDescent="0.25">
      <c r="B121" s="11">
        <v>21</v>
      </c>
      <c r="C121" t="s">
        <v>54</v>
      </c>
      <c r="D121" t="s">
        <v>26</v>
      </c>
      <c r="E121" s="6">
        <v>0</v>
      </c>
      <c r="F121" s="6">
        <v>0</v>
      </c>
      <c r="G121" s="6">
        <v>0</v>
      </c>
    </row>
    <row r="122" spans="2:7" x14ac:dyDescent="0.25">
      <c r="B122" s="11">
        <v>21</v>
      </c>
      <c r="C122" t="s">
        <v>54</v>
      </c>
      <c r="D122" t="s">
        <v>27</v>
      </c>
      <c r="E122" s="6">
        <v>0</v>
      </c>
      <c r="F122" s="6">
        <v>0</v>
      </c>
      <c r="G122" s="6">
        <v>0</v>
      </c>
    </row>
    <row r="123" spans="2:7" ht="15.75" thickBot="1" x14ac:dyDescent="0.3">
      <c r="B123" s="13"/>
      <c r="C123" s="3"/>
      <c r="D123" s="2" t="s">
        <v>42</v>
      </c>
      <c r="E123" s="72">
        <f>SUM(E114:E122)</f>
        <v>69.448386351331834</v>
      </c>
      <c r="F123" s="72">
        <f t="shared" ref="F123" si="21">SUM(F114:F122)</f>
        <v>5874.5076347510148</v>
      </c>
      <c r="G123" s="72">
        <f t="shared" ref="G123" si="22">SUM(G114:G122)</f>
        <v>5943.9560211023472</v>
      </c>
    </row>
    <row r="124" spans="2:7" x14ac:dyDescent="0.25">
      <c r="B124" s="11">
        <v>23</v>
      </c>
      <c r="C124" t="s">
        <v>55</v>
      </c>
      <c r="D124" t="s">
        <v>7</v>
      </c>
      <c r="E124" s="6">
        <v>0</v>
      </c>
      <c r="F124" s="6">
        <v>5163.2776255098188</v>
      </c>
      <c r="G124" s="6">
        <v>5163.2776255098188</v>
      </c>
    </row>
    <row r="125" spans="2:7" x14ac:dyDescent="0.25">
      <c r="B125" s="11">
        <v>23</v>
      </c>
      <c r="C125" t="s">
        <v>55</v>
      </c>
      <c r="D125" t="s">
        <v>6</v>
      </c>
      <c r="E125" s="6">
        <v>0</v>
      </c>
      <c r="F125" s="6">
        <v>99.736722498030957</v>
      </c>
      <c r="G125" s="6">
        <v>99.736722498030957</v>
      </c>
    </row>
    <row r="126" spans="2:7" x14ac:dyDescent="0.25">
      <c r="B126" s="11">
        <v>23</v>
      </c>
      <c r="C126" t="s">
        <v>55</v>
      </c>
      <c r="D126" t="s">
        <v>21</v>
      </c>
      <c r="E126" s="6">
        <v>9785.2252207792208</v>
      </c>
      <c r="F126" s="6">
        <v>67286.995908688055</v>
      </c>
      <c r="G126" s="6">
        <v>77072.221129467274</v>
      </c>
    </row>
    <row r="127" spans="2:7" x14ac:dyDescent="0.25">
      <c r="B127" s="11">
        <v>23</v>
      </c>
      <c r="C127" t="s">
        <v>55</v>
      </c>
      <c r="D127" t="s">
        <v>22</v>
      </c>
      <c r="E127" s="6">
        <v>60.273631740484355</v>
      </c>
      <c r="F127" s="6">
        <v>251.42025449739009</v>
      </c>
      <c r="G127" s="6">
        <v>311.69388623787438</v>
      </c>
    </row>
    <row r="128" spans="2:7" x14ac:dyDescent="0.25">
      <c r="B128" s="11">
        <v>23</v>
      </c>
      <c r="C128" t="s">
        <v>55</v>
      </c>
      <c r="D128" t="s">
        <v>23</v>
      </c>
      <c r="E128" s="6">
        <v>0</v>
      </c>
      <c r="F128" s="6">
        <v>224.19479563051823</v>
      </c>
      <c r="G128" s="6">
        <v>224.19479563051823</v>
      </c>
    </row>
    <row r="129" spans="2:7" x14ac:dyDescent="0.25">
      <c r="B129" s="11">
        <v>23</v>
      </c>
      <c r="C129" t="s">
        <v>55</v>
      </c>
      <c r="D129" t="s">
        <v>24</v>
      </c>
      <c r="E129" s="6">
        <v>0</v>
      </c>
      <c r="F129" s="6">
        <v>10.919</v>
      </c>
      <c r="G129" s="6">
        <v>10.919</v>
      </c>
    </row>
    <row r="130" spans="2:7" x14ac:dyDescent="0.25">
      <c r="B130" s="11">
        <v>23</v>
      </c>
      <c r="C130" t="s">
        <v>55</v>
      </c>
      <c r="D130" t="s">
        <v>25</v>
      </c>
      <c r="E130" s="6">
        <v>0</v>
      </c>
      <c r="F130" s="6">
        <v>0.76200000000000001</v>
      </c>
      <c r="G130" s="6">
        <v>0.76200000000000001</v>
      </c>
    </row>
    <row r="131" spans="2:7" x14ac:dyDescent="0.25">
      <c r="B131" s="11">
        <v>23</v>
      </c>
      <c r="C131" t="s">
        <v>55</v>
      </c>
      <c r="D131" t="s">
        <v>26</v>
      </c>
      <c r="E131" s="6">
        <v>0</v>
      </c>
      <c r="F131" s="6">
        <v>59.629999999999995</v>
      </c>
      <c r="G131" s="6">
        <v>59.629999999999995</v>
      </c>
    </row>
    <row r="132" spans="2:7" x14ac:dyDescent="0.25">
      <c r="B132" s="11">
        <v>23</v>
      </c>
      <c r="C132" t="s">
        <v>55</v>
      </c>
      <c r="D132" t="s">
        <v>27</v>
      </c>
      <c r="E132" s="6">
        <v>0</v>
      </c>
      <c r="F132" s="6">
        <v>0</v>
      </c>
      <c r="G132" s="6">
        <v>0</v>
      </c>
    </row>
    <row r="133" spans="2:7" ht="15.75" thickBot="1" x14ac:dyDescent="0.3">
      <c r="B133" s="13"/>
      <c r="C133" s="3"/>
      <c r="D133" s="2" t="s">
        <v>42</v>
      </c>
      <c r="E133" s="72">
        <f>SUM(E124:E132)</f>
        <v>9845.4988525197059</v>
      </c>
      <c r="F133" s="72">
        <f t="shared" ref="F133" si="23">SUM(F124:F132)</f>
        <v>73096.936306823831</v>
      </c>
      <c r="G133" s="72">
        <f t="shared" ref="G133" si="24">SUM(G124:G132)</f>
        <v>82942.435159343528</v>
      </c>
    </row>
    <row r="134" spans="2:7" x14ac:dyDescent="0.25">
      <c r="B134" s="11">
        <v>25</v>
      </c>
      <c r="C134" t="s">
        <v>56</v>
      </c>
      <c r="D134" t="s">
        <v>7</v>
      </c>
      <c r="E134" s="6">
        <v>0</v>
      </c>
      <c r="F134" s="6">
        <v>10014.551466179328</v>
      </c>
      <c r="G134" s="6">
        <v>10014.551466179328</v>
      </c>
    </row>
    <row r="135" spans="2:7" x14ac:dyDescent="0.25">
      <c r="B135" s="11">
        <v>25</v>
      </c>
      <c r="C135" t="s">
        <v>56</v>
      </c>
      <c r="D135" t="s">
        <v>6</v>
      </c>
      <c r="E135" s="6">
        <v>0</v>
      </c>
      <c r="F135" s="6">
        <v>1856.7339534224634</v>
      </c>
      <c r="G135" s="6">
        <v>1856.7339534224634</v>
      </c>
    </row>
    <row r="136" spans="2:7" x14ac:dyDescent="0.25">
      <c r="B136" s="11">
        <v>25</v>
      </c>
      <c r="C136" t="s">
        <v>56</v>
      </c>
      <c r="D136" t="s">
        <v>21</v>
      </c>
      <c r="E136" s="6">
        <v>0</v>
      </c>
      <c r="F136" s="6">
        <v>216704.35811114564</v>
      </c>
      <c r="G136" s="6">
        <v>216704.35811114564</v>
      </c>
    </row>
    <row r="137" spans="2:7" x14ac:dyDescent="0.25">
      <c r="B137" s="11">
        <v>25</v>
      </c>
      <c r="C137" t="s">
        <v>56</v>
      </c>
      <c r="D137" t="s">
        <v>22</v>
      </c>
      <c r="E137" s="6">
        <v>140.83314272912605</v>
      </c>
      <c r="F137" s="6">
        <v>2860.8852971301835</v>
      </c>
      <c r="G137" s="6">
        <v>3001.7184398593095</v>
      </c>
    </row>
    <row r="138" spans="2:7" x14ac:dyDescent="0.25">
      <c r="B138" s="11">
        <v>25</v>
      </c>
      <c r="C138" t="s">
        <v>56</v>
      </c>
      <c r="D138" t="s">
        <v>23</v>
      </c>
      <c r="E138" s="6">
        <v>0</v>
      </c>
      <c r="F138" s="6">
        <v>3344.0925189396894</v>
      </c>
      <c r="G138" s="6">
        <v>3344.0925189396894</v>
      </c>
    </row>
    <row r="139" spans="2:7" x14ac:dyDescent="0.25">
      <c r="B139" s="11">
        <v>25</v>
      </c>
      <c r="C139" t="s">
        <v>56</v>
      </c>
      <c r="D139" t="s">
        <v>24</v>
      </c>
      <c r="E139" s="6">
        <v>0</v>
      </c>
      <c r="F139" s="6">
        <v>108.67400000000001</v>
      </c>
      <c r="G139" s="6">
        <v>108.67400000000001</v>
      </c>
    </row>
    <row r="140" spans="2:7" x14ac:dyDescent="0.25">
      <c r="B140" s="11">
        <v>25</v>
      </c>
      <c r="C140" t="s">
        <v>56</v>
      </c>
      <c r="D140" t="s">
        <v>25</v>
      </c>
      <c r="E140" s="6">
        <v>0</v>
      </c>
      <c r="F140" s="6">
        <v>17117.653820519194</v>
      </c>
      <c r="G140" s="6">
        <v>17117.653820519194</v>
      </c>
    </row>
    <row r="141" spans="2:7" x14ac:dyDescent="0.25">
      <c r="B141" s="11">
        <v>25</v>
      </c>
      <c r="C141" t="s">
        <v>56</v>
      </c>
      <c r="D141" t="s">
        <v>26</v>
      </c>
      <c r="E141" s="6">
        <v>0</v>
      </c>
      <c r="F141" s="6">
        <v>28255.079999999998</v>
      </c>
      <c r="G141" s="6">
        <v>28255.079999999998</v>
      </c>
    </row>
    <row r="142" spans="2:7" x14ac:dyDescent="0.25">
      <c r="B142" s="11">
        <v>25</v>
      </c>
      <c r="C142" t="s">
        <v>56</v>
      </c>
      <c r="D142" t="s">
        <v>27</v>
      </c>
      <c r="E142" s="6">
        <v>0</v>
      </c>
      <c r="F142" s="6">
        <v>0</v>
      </c>
      <c r="G142" s="6">
        <v>0</v>
      </c>
    </row>
    <row r="143" spans="2:7" ht="15.75" thickBot="1" x14ac:dyDescent="0.3">
      <c r="B143" s="13"/>
      <c r="C143" s="3"/>
      <c r="D143" s="2" t="s">
        <v>42</v>
      </c>
      <c r="E143" s="72">
        <f>SUM(E134:E142)</f>
        <v>140.83314272912605</v>
      </c>
      <c r="F143" s="72">
        <f t="shared" ref="F143" si="25">SUM(F134:F142)</f>
        <v>280262.02916733653</v>
      </c>
      <c r="G143" s="72">
        <f t="shared" ref="G143" si="26">SUM(G134:G142)</f>
        <v>280402.86231006566</v>
      </c>
    </row>
    <row r="144" spans="2:7" x14ac:dyDescent="0.25">
      <c r="B144" s="11">
        <v>27</v>
      </c>
      <c r="C144" t="s">
        <v>57</v>
      </c>
      <c r="D144" t="s">
        <v>7</v>
      </c>
      <c r="E144" s="6">
        <v>886.68799999999999</v>
      </c>
      <c r="F144" s="6">
        <v>2555.7355317583806</v>
      </c>
      <c r="G144" s="6">
        <v>3442.4235317583807</v>
      </c>
    </row>
    <row r="145" spans="2:7" x14ac:dyDescent="0.25">
      <c r="B145" s="11">
        <v>27</v>
      </c>
      <c r="C145" t="s">
        <v>57</v>
      </c>
      <c r="D145" t="s">
        <v>6</v>
      </c>
      <c r="E145" s="6">
        <v>0</v>
      </c>
      <c r="F145" s="6">
        <v>95.256186896142779</v>
      </c>
      <c r="G145" s="6">
        <v>95.256186896142779</v>
      </c>
    </row>
    <row r="146" spans="2:7" x14ac:dyDescent="0.25">
      <c r="B146" s="11">
        <v>27</v>
      </c>
      <c r="C146" t="s">
        <v>57</v>
      </c>
      <c r="D146" t="s">
        <v>21</v>
      </c>
      <c r="E146" s="6">
        <v>9739.3368133233889</v>
      </c>
      <c r="F146" s="6">
        <v>3964.1394443488402</v>
      </c>
      <c r="G146" s="6">
        <v>13703.47625767223</v>
      </c>
    </row>
    <row r="147" spans="2:7" x14ac:dyDescent="0.25">
      <c r="B147" s="11">
        <v>27</v>
      </c>
      <c r="C147" t="s">
        <v>57</v>
      </c>
      <c r="D147" t="s">
        <v>22</v>
      </c>
      <c r="E147" s="6">
        <v>169.46414409570536</v>
      </c>
      <c r="F147" s="6">
        <v>189.09675417686904</v>
      </c>
      <c r="G147" s="6">
        <v>358.56089827257438</v>
      </c>
    </row>
    <row r="148" spans="2:7" x14ac:dyDescent="0.25">
      <c r="B148" s="11">
        <v>27</v>
      </c>
      <c r="C148" t="s">
        <v>57</v>
      </c>
      <c r="D148" t="s">
        <v>23</v>
      </c>
      <c r="E148" s="6">
        <v>0</v>
      </c>
      <c r="F148" s="6">
        <v>1334.2801025001279</v>
      </c>
      <c r="G148" s="6">
        <v>1334.2801025001279</v>
      </c>
    </row>
    <row r="149" spans="2:7" x14ac:dyDescent="0.25">
      <c r="B149" s="11">
        <v>27</v>
      </c>
      <c r="C149" t="s">
        <v>57</v>
      </c>
      <c r="D149" t="s">
        <v>24</v>
      </c>
      <c r="E149" s="6">
        <v>0</v>
      </c>
      <c r="F149" s="6">
        <v>48</v>
      </c>
      <c r="G149" s="6">
        <v>48</v>
      </c>
    </row>
    <row r="150" spans="2:7" x14ac:dyDescent="0.25">
      <c r="B150" s="11">
        <v>27</v>
      </c>
      <c r="C150" t="s">
        <v>57</v>
      </c>
      <c r="D150" t="s">
        <v>25</v>
      </c>
      <c r="E150" s="6">
        <v>0</v>
      </c>
      <c r="F150" s="6">
        <v>0</v>
      </c>
      <c r="G150" s="6">
        <v>0</v>
      </c>
    </row>
    <row r="151" spans="2:7" x14ac:dyDescent="0.25">
      <c r="B151" s="11">
        <v>27</v>
      </c>
      <c r="C151" t="s">
        <v>57</v>
      </c>
      <c r="D151" t="s">
        <v>26</v>
      </c>
      <c r="E151" s="6">
        <v>0</v>
      </c>
      <c r="F151" s="6">
        <v>0</v>
      </c>
      <c r="G151" s="6">
        <v>0</v>
      </c>
    </row>
    <row r="152" spans="2:7" x14ac:dyDescent="0.25">
      <c r="B152" s="11">
        <v>27</v>
      </c>
      <c r="C152" t="s">
        <v>57</v>
      </c>
      <c r="D152" t="s">
        <v>27</v>
      </c>
      <c r="E152" s="6">
        <v>0</v>
      </c>
      <c r="F152" s="6">
        <v>0</v>
      </c>
      <c r="G152" s="6">
        <v>0</v>
      </c>
    </row>
    <row r="153" spans="2:7" ht="15.75" thickBot="1" x14ac:dyDescent="0.3">
      <c r="B153" s="13"/>
      <c r="C153" s="3"/>
      <c r="D153" s="2" t="s">
        <v>42</v>
      </c>
      <c r="E153" s="72">
        <f>SUM(E144:E152)</f>
        <v>10795.488957419095</v>
      </c>
      <c r="F153" s="72">
        <f t="shared" ref="F153" si="27">SUM(F144:F152)</f>
        <v>8186.5080196803601</v>
      </c>
      <c r="G153" s="72">
        <f t="shared" ref="G153" si="28">SUM(G144:G152)</f>
        <v>18981.996977099458</v>
      </c>
    </row>
    <row r="154" spans="2:7" x14ac:dyDescent="0.25">
      <c r="B154" s="11">
        <v>28</v>
      </c>
      <c r="C154" t="s">
        <v>58</v>
      </c>
      <c r="D154" t="s">
        <v>7</v>
      </c>
      <c r="E154" s="6">
        <v>4.2460000000000004</v>
      </c>
      <c r="F154" s="6">
        <v>3912.83</v>
      </c>
      <c r="G154" s="6">
        <v>3917.076</v>
      </c>
    </row>
    <row r="155" spans="2:7" x14ac:dyDescent="0.25">
      <c r="B155" s="11">
        <v>28</v>
      </c>
      <c r="C155" t="s">
        <v>58</v>
      </c>
      <c r="D155" t="s">
        <v>6</v>
      </c>
      <c r="E155" s="6">
        <v>0</v>
      </c>
      <c r="F155" s="6">
        <v>0</v>
      </c>
      <c r="G155" s="6">
        <v>0</v>
      </c>
    </row>
    <row r="156" spans="2:7" x14ac:dyDescent="0.25">
      <c r="B156" s="11">
        <v>28</v>
      </c>
      <c r="C156" t="s">
        <v>58</v>
      </c>
      <c r="D156" t="s">
        <v>21</v>
      </c>
      <c r="E156" s="6">
        <v>0</v>
      </c>
      <c r="F156" s="6">
        <v>0</v>
      </c>
      <c r="G156" s="6">
        <v>0</v>
      </c>
    </row>
    <row r="157" spans="2:7" x14ac:dyDescent="0.25">
      <c r="B157" s="11">
        <v>28</v>
      </c>
      <c r="C157" t="s">
        <v>58</v>
      </c>
      <c r="D157" t="s">
        <v>22</v>
      </c>
      <c r="E157" s="6">
        <v>0</v>
      </c>
      <c r="F157" s="6">
        <v>0</v>
      </c>
      <c r="G157" s="6">
        <v>0</v>
      </c>
    </row>
    <row r="158" spans="2:7" x14ac:dyDescent="0.25">
      <c r="B158" s="11">
        <v>28</v>
      </c>
      <c r="C158" t="s">
        <v>58</v>
      </c>
      <c r="D158" t="s">
        <v>23</v>
      </c>
      <c r="E158" s="6">
        <v>0</v>
      </c>
      <c r="F158" s="6">
        <v>0</v>
      </c>
      <c r="G158" s="6">
        <v>0</v>
      </c>
    </row>
    <row r="159" spans="2:7" x14ac:dyDescent="0.25">
      <c r="B159" s="11">
        <v>28</v>
      </c>
      <c r="C159" t="s">
        <v>58</v>
      </c>
      <c r="D159" t="s">
        <v>24</v>
      </c>
      <c r="E159" s="6">
        <v>0</v>
      </c>
      <c r="F159" s="6">
        <v>0</v>
      </c>
      <c r="G159" s="6">
        <v>0</v>
      </c>
    </row>
    <row r="160" spans="2:7" x14ac:dyDescent="0.25">
      <c r="B160" s="11">
        <v>28</v>
      </c>
      <c r="C160" t="s">
        <v>58</v>
      </c>
      <c r="D160" t="s">
        <v>25</v>
      </c>
      <c r="E160" s="6">
        <v>0</v>
      </c>
      <c r="F160" s="6">
        <v>0</v>
      </c>
      <c r="G160" s="6">
        <v>0</v>
      </c>
    </row>
    <row r="161" spans="2:7" x14ac:dyDescent="0.25">
      <c r="B161" s="11">
        <v>28</v>
      </c>
      <c r="C161" t="s">
        <v>58</v>
      </c>
      <c r="D161" t="s">
        <v>26</v>
      </c>
      <c r="E161" s="6">
        <v>0</v>
      </c>
      <c r="F161" s="6">
        <v>0</v>
      </c>
      <c r="G161" s="6">
        <v>0</v>
      </c>
    </row>
    <row r="162" spans="2:7" x14ac:dyDescent="0.25">
      <c r="B162" s="11">
        <v>28</v>
      </c>
      <c r="C162" t="s">
        <v>58</v>
      </c>
      <c r="D162" t="s">
        <v>27</v>
      </c>
      <c r="E162" s="6">
        <v>0</v>
      </c>
      <c r="F162" s="6">
        <v>0</v>
      </c>
      <c r="G162" s="6">
        <v>0</v>
      </c>
    </row>
    <row r="163" spans="2:7" ht="15.75" thickBot="1" x14ac:dyDescent="0.3">
      <c r="B163" s="13"/>
      <c r="C163" s="3"/>
      <c r="D163" s="2" t="s">
        <v>42</v>
      </c>
      <c r="E163" s="72">
        <f>SUM(E154:E162)</f>
        <v>4.2460000000000004</v>
      </c>
      <c r="F163" s="72">
        <f t="shared" ref="F163" si="29">SUM(F154:F162)</f>
        <v>3912.83</v>
      </c>
      <c r="G163" s="72">
        <f t="shared" ref="G163" si="30">SUM(G154:G162)</f>
        <v>3917.076</v>
      </c>
    </row>
    <row r="164" spans="2:7" x14ac:dyDescent="0.25">
      <c r="B164" s="11">
        <v>29</v>
      </c>
      <c r="C164" t="s">
        <v>59</v>
      </c>
      <c r="D164" t="s">
        <v>7</v>
      </c>
      <c r="E164" s="6">
        <v>0</v>
      </c>
      <c r="F164" s="6">
        <v>4828.0795460593954</v>
      </c>
      <c r="G164" s="6">
        <v>4828.0795460593954</v>
      </c>
    </row>
    <row r="165" spans="2:7" x14ac:dyDescent="0.25">
      <c r="B165" s="11">
        <v>29</v>
      </c>
      <c r="C165" t="s">
        <v>59</v>
      </c>
      <c r="D165" t="s">
        <v>6</v>
      </c>
      <c r="E165" s="6">
        <v>0</v>
      </c>
      <c r="F165" s="6">
        <v>961.29891338510947</v>
      </c>
      <c r="G165" s="6">
        <v>961.29891338510947</v>
      </c>
    </row>
    <row r="166" spans="2:7" x14ac:dyDescent="0.25">
      <c r="B166" s="11">
        <v>29</v>
      </c>
      <c r="C166" t="s">
        <v>59</v>
      </c>
      <c r="D166" t="s">
        <v>21</v>
      </c>
      <c r="E166" s="6">
        <v>867.71004146799021</v>
      </c>
      <c r="F166" s="6">
        <v>99097.378181642853</v>
      </c>
      <c r="G166" s="6">
        <v>99965.088223110841</v>
      </c>
    </row>
    <row r="167" spans="2:7" x14ac:dyDescent="0.25">
      <c r="B167" s="11">
        <v>29</v>
      </c>
      <c r="C167" t="s">
        <v>59</v>
      </c>
      <c r="D167" t="s">
        <v>22</v>
      </c>
      <c r="E167" s="6">
        <v>42.664157537468924</v>
      </c>
      <c r="F167" s="6">
        <v>970.20836970560981</v>
      </c>
      <c r="G167" s="6">
        <v>1012.8725272430787</v>
      </c>
    </row>
    <row r="168" spans="2:7" x14ac:dyDescent="0.25">
      <c r="B168" s="11">
        <v>29</v>
      </c>
      <c r="C168" t="s">
        <v>59</v>
      </c>
      <c r="D168" t="s">
        <v>23</v>
      </c>
      <c r="E168" s="6">
        <v>0</v>
      </c>
      <c r="F168" s="6">
        <v>539.8076477656258</v>
      </c>
      <c r="G168" s="6">
        <v>539.8076477656258</v>
      </c>
    </row>
    <row r="169" spans="2:7" x14ac:dyDescent="0.25">
      <c r="B169" s="11">
        <v>29</v>
      </c>
      <c r="C169" t="s">
        <v>59</v>
      </c>
      <c r="D169" t="s">
        <v>24</v>
      </c>
      <c r="E169" s="6">
        <v>0</v>
      </c>
      <c r="F169" s="6">
        <v>0</v>
      </c>
      <c r="G169" s="6">
        <v>0</v>
      </c>
    </row>
    <row r="170" spans="2:7" x14ac:dyDescent="0.25">
      <c r="B170" s="11">
        <v>29</v>
      </c>
      <c r="C170" t="s">
        <v>59</v>
      </c>
      <c r="D170" t="s">
        <v>25</v>
      </c>
      <c r="E170" s="6">
        <v>0</v>
      </c>
      <c r="F170" s="6">
        <v>222.93</v>
      </c>
      <c r="G170" s="6">
        <v>222.93</v>
      </c>
    </row>
    <row r="171" spans="2:7" x14ac:dyDescent="0.25">
      <c r="B171" s="11">
        <v>29</v>
      </c>
      <c r="C171" t="s">
        <v>59</v>
      </c>
      <c r="D171" t="s">
        <v>26</v>
      </c>
      <c r="E171" s="6">
        <v>0</v>
      </c>
      <c r="F171" s="6">
        <v>254.72</v>
      </c>
      <c r="G171" s="6">
        <v>254.72</v>
      </c>
    </row>
    <row r="172" spans="2:7" x14ac:dyDescent="0.25">
      <c r="B172" s="11">
        <v>29</v>
      </c>
      <c r="C172" t="s">
        <v>59</v>
      </c>
      <c r="D172" t="s">
        <v>27</v>
      </c>
      <c r="E172" s="6">
        <v>0</v>
      </c>
      <c r="F172" s="6">
        <v>0</v>
      </c>
      <c r="G172" s="6">
        <v>0</v>
      </c>
    </row>
    <row r="173" spans="2:7" ht="15.75" thickBot="1" x14ac:dyDescent="0.3">
      <c r="B173" s="13"/>
      <c r="C173" s="3"/>
      <c r="D173" s="2" t="s">
        <v>42</v>
      </c>
      <c r="E173" s="72">
        <f>SUM(E164:E172)</f>
        <v>910.3741990054591</v>
      </c>
      <c r="F173" s="72">
        <f t="shared" ref="F173" si="31">SUM(F164:F172)</f>
        <v>106874.42265855859</v>
      </c>
      <c r="G173" s="72">
        <f t="shared" ref="G173" si="32">SUM(G164:G172)</f>
        <v>107784.79685756404</v>
      </c>
    </row>
    <row r="174" spans="2:7" x14ac:dyDescent="0.25">
      <c r="B174" s="11">
        <v>31</v>
      </c>
      <c r="C174" t="s">
        <v>60</v>
      </c>
      <c r="D174" t="s">
        <v>7</v>
      </c>
      <c r="E174" s="6">
        <v>0</v>
      </c>
      <c r="F174" s="6">
        <v>3060.2992203181825</v>
      </c>
      <c r="G174" s="6">
        <v>3060.2992203181825</v>
      </c>
    </row>
    <row r="175" spans="2:7" x14ac:dyDescent="0.25">
      <c r="B175" s="11">
        <v>31</v>
      </c>
      <c r="C175" t="s">
        <v>60</v>
      </c>
      <c r="D175" t="s">
        <v>6</v>
      </c>
      <c r="E175" s="6">
        <v>0</v>
      </c>
      <c r="F175" s="6">
        <v>3620.9448466659355</v>
      </c>
      <c r="G175" s="6">
        <v>3620.9448466659355</v>
      </c>
    </row>
    <row r="176" spans="2:7" x14ac:dyDescent="0.25">
      <c r="B176" s="11">
        <v>31</v>
      </c>
      <c r="C176" t="s">
        <v>60</v>
      </c>
      <c r="D176" t="s">
        <v>21</v>
      </c>
      <c r="E176" s="6">
        <v>96.357142857142847</v>
      </c>
      <c r="F176" s="6">
        <v>122.38076923076923</v>
      </c>
      <c r="G176" s="6">
        <v>218.73791208791209</v>
      </c>
    </row>
    <row r="177" spans="2:7" x14ac:dyDescent="0.25">
      <c r="B177" s="11">
        <v>31</v>
      </c>
      <c r="C177" t="s">
        <v>60</v>
      </c>
      <c r="D177" t="s">
        <v>22</v>
      </c>
      <c r="E177" s="6">
        <v>16.421698949302144</v>
      </c>
      <c r="F177" s="6">
        <v>68.047821851826939</v>
      </c>
      <c r="G177" s="6">
        <v>84.469520801129093</v>
      </c>
    </row>
    <row r="178" spans="2:7" x14ac:dyDescent="0.25">
      <c r="B178" s="11">
        <v>31</v>
      </c>
      <c r="C178" t="s">
        <v>60</v>
      </c>
      <c r="D178" t="s">
        <v>23</v>
      </c>
      <c r="E178" s="6">
        <v>0</v>
      </c>
      <c r="F178" s="6">
        <v>134.82563837152566</v>
      </c>
      <c r="G178" s="6">
        <v>134.82563837152566</v>
      </c>
    </row>
    <row r="179" spans="2:7" x14ac:dyDescent="0.25">
      <c r="B179" s="11">
        <v>31</v>
      </c>
      <c r="C179" t="s">
        <v>60</v>
      </c>
      <c r="D179" t="s">
        <v>24</v>
      </c>
      <c r="E179" s="6">
        <v>0</v>
      </c>
      <c r="F179" s="6">
        <v>2.839</v>
      </c>
      <c r="G179" s="6">
        <v>2.839</v>
      </c>
    </row>
    <row r="180" spans="2:7" x14ac:dyDescent="0.25">
      <c r="B180" s="11">
        <v>31</v>
      </c>
      <c r="C180" t="s">
        <v>60</v>
      </c>
      <c r="D180" t="s">
        <v>25</v>
      </c>
      <c r="E180" s="6">
        <v>0</v>
      </c>
      <c r="F180" s="6">
        <v>117.18100000000001</v>
      </c>
      <c r="G180" s="6">
        <v>117.18100000000001</v>
      </c>
    </row>
    <row r="181" spans="2:7" x14ac:dyDescent="0.25">
      <c r="B181" s="11">
        <v>31</v>
      </c>
      <c r="C181" t="s">
        <v>60</v>
      </c>
      <c r="D181" t="s">
        <v>26</v>
      </c>
      <c r="E181" s="6">
        <v>0</v>
      </c>
      <c r="F181" s="6">
        <v>2226.6309999999999</v>
      </c>
      <c r="G181" s="6">
        <v>2226.6309999999999</v>
      </c>
    </row>
    <row r="182" spans="2:7" x14ac:dyDescent="0.25">
      <c r="B182" s="11">
        <v>31</v>
      </c>
      <c r="C182" t="s">
        <v>60</v>
      </c>
      <c r="D182" t="s">
        <v>27</v>
      </c>
      <c r="E182" s="6">
        <v>0</v>
      </c>
      <c r="F182" s="6">
        <v>0</v>
      </c>
      <c r="G182" s="6">
        <v>0</v>
      </c>
    </row>
    <row r="183" spans="2:7" ht="15.75" thickBot="1" x14ac:dyDescent="0.3">
      <c r="B183" s="13"/>
      <c r="C183" s="3"/>
      <c r="D183" s="2" t="s">
        <v>42</v>
      </c>
      <c r="E183" s="72">
        <f>SUM(E174:E182)</f>
        <v>112.77884180644499</v>
      </c>
      <c r="F183" s="72">
        <f t="shared" ref="F183" si="33">SUM(F174:F182)</f>
        <v>9353.1492964382396</v>
      </c>
      <c r="G183" s="72">
        <f t="shared" ref="G183" si="34">SUM(G174:G182)</f>
        <v>9465.9281382446843</v>
      </c>
    </row>
    <row r="184" spans="2:7" x14ac:dyDescent="0.25">
      <c r="B184" s="11">
        <v>33</v>
      </c>
      <c r="C184" t="s">
        <v>61</v>
      </c>
      <c r="D184" t="s">
        <v>7</v>
      </c>
      <c r="E184" s="6">
        <v>0</v>
      </c>
      <c r="F184" s="6">
        <v>333.43138490463252</v>
      </c>
      <c r="G184" s="6">
        <v>333.43138490463252</v>
      </c>
    </row>
    <row r="185" spans="2:7" x14ac:dyDescent="0.25">
      <c r="B185" s="11">
        <v>33</v>
      </c>
      <c r="C185" t="s">
        <v>61</v>
      </c>
      <c r="D185" t="s">
        <v>6</v>
      </c>
      <c r="E185" s="6">
        <v>0</v>
      </c>
      <c r="F185" s="6">
        <v>66.67036975609615</v>
      </c>
      <c r="G185" s="6">
        <v>66.67036975609615</v>
      </c>
    </row>
    <row r="186" spans="2:7" x14ac:dyDescent="0.25">
      <c r="B186" s="11">
        <v>33</v>
      </c>
      <c r="C186" t="s">
        <v>61</v>
      </c>
      <c r="D186" t="s">
        <v>21</v>
      </c>
      <c r="E186" s="6">
        <v>30902.388965700964</v>
      </c>
      <c r="F186" s="6">
        <v>0</v>
      </c>
      <c r="G186" s="6">
        <v>30902.388965700964</v>
      </c>
    </row>
    <row r="187" spans="2:7" x14ac:dyDescent="0.25">
      <c r="B187" s="11">
        <v>33</v>
      </c>
      <c r="C187" t="s">
        <v>61</v>
      </c>
      <c r="D187" t="s">
        <v>22</v>
      </c>
      <c r="E187" s="6">
        <v>141.80993346327037</v>
      </c>
      <c r="F187" s="6">
        <v>171.95196809821445</v>
      </c>
      <c r="G187" s="6">
        <v>313.76190156148488</v>
      </c>
    </row>
    <row r="188" spans="2:7" x14ac:dyDescent="0.25">
      <c r="B188" s="11">
        <v>33</v>
      </c>
      <c r="C188" t="s">
        <v>61</v>
      </c>
      <c r="D188" t="s">
        <v>23</v>
      </c>
      <c r="E188" s="6">
        <v>460.5</v>
      </c>
      <c r="F188" s="6">
        <v>8.9535554593970872</v>
      </c>
      <c r="G188" s="6">
        <v>469.45355545939708</v>
      </c>
    </row>
    <row r="189" spans="2:7" x14ac:dyDescent="0.25">
      <c r="B189" s="11">
        <v>33</v>
      </c>
      <c r="C189" t="s">
        <v>61</v>
      </c>
      <c r="D189" t="s">
        <v>24</v>
      </c>
      <c r="E189" s="6">
        <v>0</v>
      </c>
      <c r="F189" s="6">
        <v>0</v>
      </c>
      <c r="G189" s="6">
        <v>0</v>
      </c>
    </row>
    <row r="190" spans="2:7" x14ac:dyDescent="0.25">
      <c r="B190" s="11">
        <v>33</v>
      </c>
      <c r="C190" t="s">
        <v>61</v>
      </c>
      <c r="D190" t="s">
        <v>25</v>
      </c>
      <c r="E190" s="6">
        <v>0</v>
      </c>
      <c r="F190" s="6">
        <v>6</v>
      </c>
      <c r="G190" s="6">
        <v>6</v>
      </c>
    </row>
    <row r="191" spans="2:7" x14ac:dyDescent="0.25">
      <c r="B191" s="11">
        <v>33</v>
      </c>
      <c r="C191" t="s">
        <v>61</v>
      </c>
      <c r="D191" t="s">
        <v>26</v>
      </c>
      <c r="E191" s="6">
        <v>0</v>
      </c>
      <c r="F191" s="6">
        <v>0</v>
      </c>
      <c r="G191" s="6">
        <v>0</v>
      </c>
    </row>
    <row r="192" spans="2:7" x14ac:dyDescent="0.25">
      <c r="B192" s="11">
        <v>33</v>
      </c>
      <c r="C192" t="s">
        <v>61</v>
      </c>
      <c r="D192" t="s">
        <v>27</v>
      </c>
      <c r="E192" s="6">
        <v>0</v>
      </c>
      <c r="F192" s="6">
        <v>0</v>
      </c>
      <c r="G192" s="6">
        <v>0</v>
      </c>
    </row>
    <row r="193" spans="2:7" ht="15.75" thickBot="1" x14ac:dyDescent="0.3">
      <c r="B193" s="13"/>
      <c r="C193" s="3"/>
      <c r="D193" s="2" t="s">
        <v>42</v>
      </c>
      <c r="E193" s="72">
        <f>SUM(E184:E192)</f>
        <v>31504.698899164236</v>
      </c>
      <c r="F193" s="72">
        <f t="shared" ref="F193" si="35">SUM(F184:F192)</f>
        <v>587.00727821834016</v>
      </c>
      <c r="G193" s="72">
        <f t="shared" ref="G193" si="36">SUM(G184:G192)</f>
        <v>32091.706177382574</v>
      </c>
    </row>
    <row r="194" spans="2:7" x14ac:dyDescent="0.25">
      <c r="B194" s="11">
        <v>35</v>
      </c>
      <c r="C194" t="s">
        <v>62</v>
      </c>
      <c r="D194" t="s">
        <v>7</v>
      </c>
      <c r="E194" s="6">
        <v>3851.5149128190492</v>
      </c>
      <c r="F194" s="6">
        <v>5701.9327939304985</v>
      </c>
      <c r="G194" s="6">
        <v>9553.4477067495482</v>
      </c>
    </row>
    <row r="195" spans="2:7" x14ac:dyDescent="0.25">
      <c r="B195" s="11">
        <v>35</v>
      </c>
      <c r="C195" t="s">
        <v>62</v>
      </c>
      <c r="D195" t="s">
        <v>6</v>
      </c>
      <c r="E195" s="6">
        <v>0</v>
      </c>
      <c r="F195" s="6">
        <v>1000.1675597314899</v>
      </c>
      <c r="G195" s="6">
        <v>1000.1675597314899</v>
      </c>
    </row>
    <row r="196" spans="2:7" x14ac:dyDescent="0.25">
      <c r="B196" s="11">
        <v>35</v>
      </c>
      <c r="C196" t="s">
        <v>62</v>
      </c>
      <c r="D196" t="s">
        <v>21</v>
      </c>
      <c r="E196" s="6">
        <v>15175.460283902145</v>
      </c>
      <c r="F196" s="6">
        <v>9304.2317681316999</v>
      </c>
      <c r="G196" s="6">
        <v>24479.692052033846</v>
      </c>
    </row>
    <row r="197" spans="2:7" x14ac:dyDescent="0.25">
      <c r="B197" s="11">
        <v>35</v>
      </c>
      <c r="C197" t="s">
        <v>62</v>
      </c>
      <c r="D197" t="s">
        <v>22</v>
      </c>
      <c r="E197" s="6">
        <v>92.756900329323216</v>
      </c>
      <c r="F197" s="6">
        <v>116.57042901628694</v>
      </c>
      <c r="G197" s="6">
        <v>209.3273293456102</v>
      </c>
    </row>
    <row r="198" spans="2:7" x14ac:dyDescent="0.25">
      <c r="B198" s="11">
        <v>35</v>
      </c>
      <c r="C198" t="s">
        <v>62</v>
      </c>
      <c r="D198" t="s">
        <v>23</v>
      </c>
      <c r="E198" s="6">
        <v>196.85999999999996</v>
      </c>
      <c r="F198" s="6">
        <v>1042.6421250248168</v>
      </c>
      <c r="G198" s="6">
        <v>1239.5021250248167</v>
      </c>
    </row>
    <row r="199" spans="2:7" x14ac:dyDescent="0.25">
      <c r="B199" s="11">
        <v>35</v>
      </c>
      <c r="C199" t="s">
        <v>62</v>
      </c>
      <c r="D199" t="s">
        <v>24</v>
      </c>
      <c r="E199" s="6">
        <v>0</v>
      </c>
      <c r="F199" s="6">
        <v>69.25</v>
      </c>
      <c r="G199" s="6">
        <v>69.25</v>
      </c>
    </row>
    <row r="200" spans="2:7" x14ac:dyDescent="0.25">
      <c r="B200" s="11">
        <v>35</v>
      </c>
      <c r="C200" t="s">
        <v>62</v>
      </c>
      <c r="D200" t="s">
        <v>25</v>
      </c>
      <c r="E200" s="6">
        <v>360</v>
      </c>
      <c r="F200" s="6">
        <v>262.37150977594052</v>
      </c>
      <c r="G200" s="6">
        <v>622.37150977594047</v>
      </c>
    </row>
    <row r="201" spans="2:7" x14ac:dyDescent="0.25">
      <c r="B201" s="11">
        <v>35</v>
      </c>
      <c r="C201" t="s">
        <v>62</v>
      </c>
      <c r="D201" t="s">
        <v>26</v>
      </c>
      <c r="E201" s="6">
        <v>0</v>
      </c>
      <c r="F201" s="6">
        <v>0</v>
      </c>
      <c r="G201" s="6">
        <v>0</v>
      </c>
    </row>
    <row r="202" spans="2:7" x14ac:dyDescent="0.25">
      <c r="B202" s="11">
        <v>35</v>
      </c>
      <c r="C202" t="s">
        <v>62</v>
      </c>
      <c r="D202" t="s">
        <v>27</v>
      </c>
      <c r="E202" s="6">
        <v>0</v>
      </c>
      <c r="F202" s="6">
        <v>0</v>
      </c>
      <c r="G202" s="6">
        <v>0</v>
      </c>
    </row>
    <row r="203" spans="2:7" ht="15.75" thickBot="1" x14ac:dyDescent="0.3">
      <c r="B203" s="13"/>
      <c r="C203" s="3"/>
      <c r="D203" s="2" t="s">
        <v>42</v>
      </c>
      <c r="E203" s="72">
        <f>SUM(E194:E202)</f>
        <v>19676.592097050518</v>
      </c>
      <c r="F203" s="72">
        <f t="shared" ref="F203" si="37">SUM(F194:F202)</f>
        <v>17497.166185610731</v>
      </c>
      <c r="G203" s="72">
        <f t="shared" ref="G203" si="38">SUM(G194:G202)</f>
        <v>37173.758282661249</v>
      </c>
    </row>
    <row r="204" spans="2:7" x14ac:dyDescent="0.25">
      <c r="B204" s="11">
        <v>37</v>
      </c>
      <c r="C204" t="s">
        <v>63</v>
      </c>
      <c r="D204" t="s">
        <v>7</v>
      </c>
      <c r="E204" s="6">
        <v>0</v>
      </c>
      <c r="F204" s="6">
        <v>1621.5130790637438</v>
      </c>
      <c r="G204" s="6">
        <v>1621.5130790637438</v>
      </c>
    </row>
    <row r="205" spans="2:7" x14ac:dyDescent="0.25">
      <c r="B205" s="11">
        <v>37</v>
      </c>
      <c r="C205" t="s">
        <v>63</v>
      </c>
      <c r="D205" t="s">
        <v>6</v>
      </c>
      <c r="E205" s="6">
        <v>0</v>
      </c>
      <c r="F205" s="6">
        <v>51.167716573563048</v>
      </c>
      <c r="G205" s="6">
        <v>51.167716573563048</v>
      </c>
    </row>
    <row r="206" spans="2:7" x14ac:dyDescent="0.25">
      <c r="B206" s="11">
        <v>37</v>
      </c>
      <c r="C206" t="s">
        <v>63</v>
      </c>
      <c r="D206" t="s">
        <v>21</v>
      </c>
      <c r="E206" s="6">
        <v>64348.957970886739</v>
      </c>
      <c r="F206" s="6">
        <v>27933.538461538465</v>
      </c>
      <c r="G206" s="6">
        <v>92282.496432425207</v>
      </c>
    </row>
    <row r="207" spans="2:7" x14ac:dyDescent="0.25">
      <c r="B207" s="11">
        <v>37</v>
      </c>
      <c r="C207" t="s">
        <v>63</v>
      </c>
      <c r="D207" t="s">
        <v>22</v>
      </c>
      <c r="E207" s="6">
        <v>46.439007997849316</v>
      </c>
      <c r="F207" s="6">
        <v>427.41401099760753</v>
      </c>
      <c r="G207" s="6">
        <v>473.85301899545686</v>
      </c>
    </row>
    <row r="208" spans="2:7" x14ac:dyDescent="0.25">
      <c r="B208" s="11">
        <v>37</v>
      </c>
      <c r="C208" t="s">
        <v>63</v>
      </c>
      <c r="D208" t="s">
        <v>23</v>
      </c>
      <c r="E208" s="6">
        <v>0</v>
      </c>
      <c r="F208" s="6">
        <v>55.459324755085085</v>
      </c>
      <c r="G208" s="6">
        <v>55.459324755085085</v>
      </c>
    </row>
    <row r="209" spans="2:7" x14ac:dyDescent="0.25">
      <c r="B209" s="11">
        <v>37</v>
      </c>
      <c r="C209" t="s">
        <v>63</v>
      </c>
      <c r="D209" t="s">
        <v>24</v>
      </c>
      <c r="E209" s="6">
        <v>0</v>
      </c>
      <c r="F209" s="6">
        <v>0</v>
      </c>
      <c r="G209" s="6">
        <v>0</v>
      </c>
    </row>
    <row r="210" spans="2:7" x14ac:dyDescent="0.25">
      <c r="B210" s="11">
        <v>37</v>
      </c>
      <c r="C210" t="s">
        <v>63</v>
      </c>
      <c r="D210" t="s">
        <v>25</v>
      </c>
      <c r="E210" s="6">
        <v>0</v>
      </c>
      <c r="F210" s="6">
        <v>12</v>
      </c>
      <c r="G210" s="6">
        <v>12</v>
      </c>
    </row>
    <row r="211" spans="2:7" x14ac:dyDescent="0.25">
      <c r="B211" s="11">
        <v>37</v>
      </c>
      <c r="C211" t="s">
        <v>63</v>
      </c>
      <c r="D211" t="s">
        <v>26</v>
      </c>
      <c r="E211" s="6">
        <v>0</v>
      </c>
      <c r="F211" s="6">
        <v>0</v>
      </c>
      <c r="G211" s="6">
        <v>0</v>
      </c>
    </row>
    <row r="212" spans="2:7" x14ac:dyDescent="0.25">
      <c r="B212" s="11">
        <v>37</v>
      </c>
      <c r="C212" t="s">
        <v>63</v>
      </c>
      <c r="D212" t="s">
        <v>27</v>
      </c>
      <c r="E212" s="6">
        <v>32527.474999999995</v>
      </c>
      <c r="F212" s="6">
        <v>0</v>
      </c>
      <c r="G212" s="6">
        <v>32527.474999999995</v>
      </c>
    </row>
    <row r="213" spans="2:7" ht="15.75" thickBot="1" x14ac:dyDescent="0.3">
      <c r="B213" s="13"/>
      <c r="C213" s="3"/>
      <c r="D213" s="2" t="s">
        <v>42</v>
      </c>
      <c r="E213" s="72">
        <f>SUM(E204:E212)</f>
        <v>96922.871978884577</v>
      </c>
      <c r="F213" s="72">
        <f t="shared" ref="F213" si="39">SUM(F204:F212)</f>
        <v>30101.09259292846</v>
      </c>
      <c r="G213" s="72">
        <f t="shared" ref="G213" si="40">SUM(G204:G212)</f>
        <v>127023.96457181305</v>
      </c>
    </row>
    <row r="214" spans="2:7" x14ac:dyDescent="0.25">
      <c r="B214" s="11">
        <v>39</v>
      </c>
      <c r="C214" t="s">
        <v>64</v>
      </c>
      <c r="D214" t="s">
        <v>7</v>
      </c>
      <c r="E214" s="6">
        <v>197.68834528664942</v>
      </c>
      <c r="F214" s="6">
        <v>1359.8690952481656</v>
      </c>
      <c r="G214" s="6">
        <v>1557.557440534815</v>
      </c>
    </row>
    <row r="215" spans="2:7" x14ac:dyDescent="0.25">
      <c r="B215" s="11">
        <v>39</v>
      </c>
      <c r="C215" t="s">
        <v>64</v>
      </c>
      <c r="D215" t="s">
        <v>6</v>
      </c>
      <c r="E215" s="6">
        <v>0</v>
      </c>
      <c r="F215" s="6">
        <v>1790.5116372265554</v>
      </c>
      <c r="G215" s="6">
        <v>1790.5116372265554</v>
      </c>
    </row>
    <row r="216" spans="2:7" x14ac:dyDescent="0.25">
      <c r="B216" s="11">
        <v>39</v>
      </c>
      <c r="C216" t="s">
        <v>64</v>
      </c>
      <c r="D216" t="s">
        <v>21</v>
      </c>
      <c r="E216" s="6">
        <v>114666.18927881047</v>
      </c>
      <c r="F216" s="6">
        <v>1329.3853204409966</v>
      </c>
      <c r="G216" s="6">
        <v>115995.57459925147</v>
      </c>
    </row>
    <row r="217" spans="2:7" x14ac:dyDescent="0.25">
      <c r="B217" s="11">
        <v>39</v>
      </c>
      <c r="C217" t="s">
        <v>64</v>
      </c>
      <c r="D217" t="s">
        <v>22</v>
      </c>
      <c r="E217" s="6">
        <v>158.27698994108027</v>
      </c>
      <c r="F217" s="6">
        <v>182.88366153639356</v>
      </c>
      <c r="G217" s="6">
        <v>341.16065147747383</v>
      </c>
    </row>
    <row r="218" spans="2:7" x14ac:dyDescent="0.25">
      <c r="B218" s="11">
        <v>39</v>
      </c>
      <c r="C218" t="s">
        <v>64</v>
      </c>
      <c r="D218" t="s">
        <v>23</v>
      </c>
      <c r="E218" s="6">
        <v>3339.4404595321175</v>
      </c>
      <c r="F218" s="6">
        <v>102.15816272161204</v>
      </c>
      <c r="G218" s="6">
        <v>3441.5986222537294</v>
      </c>
    </row>
    <row r="219" spans="2:7" x14ac:dyDescent="0.25">
      <c r="B219" s="11">
        <v>39</v>
      </c>
      <c r="C219" t="s">
        <v>64</v>
      </c>
      <c r="D219" t="s">
        <v>24</v>
      </c>
      <c r="E219" s="6">
        <v>0</v>
      </c>
      <c r="F219" s="6">
        <v>0</v>
      </c>
      <c r="G219" s="6">
        <v>0</v>
      </c>
    </row>
    <row r="220" spans="2:7" x14ac:dyDescent="0.25">
      <c r="B220" s="11">
        <v>39</v>
      </c>
      <c r="C220" t="s">
        <v>64</v>
      </c>
      <c r="D220" t="s">
        <v>25</v>
      </c>
      <c r="E220" s="6">
        <v>4.6401576180524229</v>
      </c>
      <c r="F220" s="6">
        <v>25.319000000000003</v>
      </c>
      <c r="G220" s="6">
        <v>29.959157618052423</v>
      </c>
    </row>
    <row r="221" spans="2:7" x14ac:dyDescent="0.25">
      <c r="B221" s="11">
        <v>39</v>
      </c>
      <c r="C221" t="s">
        <v>64</v>
      </c>
      <c r="D221" t="s">
        <v>26</v>
      </c>
      <c r="E221" s="6">
        <v>0</v>
      </c>
      <c r="F221" s="6">
        <v>0</v>
      </c>
      <c r="G221" s="6">
        <v>0</v>
      </c>
    </row>
    <row r="222" spans="2:7" x14ac:dyDescent="0.25">
      <c r="B222" s="11">
        <v>39</v>
      </c>
      <c r="C222" t="s">
        <v>64</v>
      </c>
      <c r="D222" t="s">
        <v>27</v>
      </c>
      <c r="E222" s="6">
        <v>25890.460000000003</v>
      </c>
      <c r="F222" s="6">
        <v>0</v>
      </c>
      <c r="G222" s="6">
        <v>25890.460000000003</v>
      </c>
    </row>
    <row r="223" spans="2:7" ht="15.75" thickBot="1" x14ac:dyDescent="0.3">
      <c r="B223" s="13"/>
      <c r="C223" s="3"/>
      <c r="D223" s="2" t="s">
        <v>42</v>
      </c>
      <c r="E223" s="72">
        <f>SUM(E214:E222)</f>
        <v>144256.69523118838</v>
      </c>
      <c r="F223" s="72">
        <f t="shared" ref="F223" si="41">SUM(F214:F222)</f>
        <v>4790.1268771737241</v>
      </c>
      <c r="G223" s="72">
        <f t="shared" ref="G223" si="42">SUM(G214:G222)</f>
        <v>149046.8221083621</v>
      </c>
    </row>
    <row r="224" spans="2:7" x14ac:dyDescent="0.25">
      <c r="B224" s="11">
        <v>41</v>
      </c>
      <c r="C224" t="s">
        <v>65</v>
      </c>
      <c r="D224" t="s">
        <v>7</v>
      </c>
      <c r="E224" s="6">
        <v>0</v>
      </c>
      <c r="F224" s="6">
        <v>2903.2295681768655</v>
      </c>
      <c r="G224" s="6">
        <v>2903.2295681768655</v>
      </c>
    </row>
    <row r="225" spans="2:7" x14ac:dyDescent="0.25">
      <c r="B225" s="11">
        <v>41</v>
      </c>
      <c r="C225" t="s">
        <v>65</v>
      </c>
      <c r="D225" t="s">
        <v>6</v>
      </c>
      <c r="E225" s="6">
        <v>0</v>
      </c>
      <c r="F225" s="6">
        <v>115.37379174862073</v>
      </c>
      <c r="G225" s="6">
        <v>115.37379174862073</v>
      </c>
    </row>
    <row r="226" spans="2:7" x14ac:dyDescent="0.25">
      <c r="B226" s="11">
        <v>41</v>
      </c>
      <c r="C226" t="s">
        <v>65</v>
      </c>
      <c r="D226" t="s">
        <v>21</v>
      </c>
      <c r="E226" s="6">
        <v>0</v>
      </c>
      <c r="F226" s="6">
        <v>122035.65747619048</v>
      </c>
      <c r="G226" s="6">
        <v>122035.65747619048</v>
      </c>
    </row>
    <row r="227" spans="2:7" x14ac:dyDescent="0.25">
      <c r="B227" s="11">
        <v>41</v>
      </c>
      <c r="C227" t="s">
        <v>65</v>
      </c>
      <c r="D227" t="s">
        <v>22</v>
      </c>
      <c r="E227" s="6">
        <v>113.2824457556806</v>
      </c>
      <c r="F227" s="6">
        <v>4940.7301185250217</v>
      </c>
      <c r="G227" s="6">
        <v>5054.0125642807016</v>
      </c>
    </row>
    <row r="228" spans="2:7" x14ac:dyDescent="0.25">
      <c r="B228" s="11">
        <v>41</v>
      </c>
      <c r="C228" t="s">
        <v>65</v>
      </c>
      <c r="D228" t="s">
        <v>23</v>
      </c>
      <c r="E228" s="6">
        <v>0</v>
      </c>
      <c r="F228" s="6">
        <v>126.37375223999264</v>
      </c>
      <c r="G228" s="6">
        <v>126.37375223999264</v>
      </c>
    </row>
    <row r="229" spans="2:7" x14ac:dyDescent="0.25">
      <c r="B229" s="11">
        <v>41</v>
      </c>
      <c r="C229" t="s">
        <v>65</v>
      </c>
      <c r="D229" t="s">
        <v>24</v>
      </c>
      <c r="E229" s="6">
        <v>0</v>
      </c>
      <c r="F229" s="6">
        <v>0</v>
      </c>
      <c r="G229" s="6">
        <v>0</v>
      </c>
    </row>
    <row r="230" spans="2:7" x14ac:dyDescent="0.25">
      <c r="B230" s="11">
        <v>41</v>
      </c>
      <c r="C230" t="s">
        <v>65</v>
      </c>
      <c r="D230" t="s">
        <v>25</v>
      </c>
      <c r="E230" s="6">
        <v>0</v>
      </c>
      <c r="F230" s="6">
        <v>6</v>
      </c>
      <c r="G230" s="6">
        <v>6</v>
      </c>
    </row>
    <row r="231" spans="2:7" x14ac:dyDescent="0.25">
      <c r="B231" s="11">
        <v>41</v>
      </c>
      <c r="C231" t="s">
        <v>65</v>
      </c>
      <c r="D231" t="s">
        <v>26</v>
      </c>
      <c r="E231" s="6">
        <v>0</v>
      </c>
      <c r="F231" s="6">
        <v>0</v>
      </c>
      <c r="G231" s="6">
        <v>0</v>
      </c>
    </row>
    <row r="232" spans="2:7" x14ac:dyDescent="0.25">
      <c r="B232" s="11">
        <v>41</v>
      </c>
      <c r="C232" t="s">
        <v>65</v>
      </c>
      <c r="D232" t="s">
        <v>27</v>
      </c>
      <c r="E232" s="6">
        <v>0</v>
      </c>
      <c r="F232" s="6">
        <v>0</v>
      </c>
      <c r="G232" s="6">
        <v>0</v>
      </c>
    </row>
    <row r="233" spans="2:7" ht="15.75" thickBot="1" x14ac:dyDescent="0.3">
      <c r="B233" s="13"/>
      <c r="C233" s="3"/>
      <c r="D233" s="2" t="s">
        <v>42</v>
      </c>
      <c r="E233" s="72">
        <f>SUM(E224:E232)</f>
        <v>113.2824457556806</v>
      </c>
      <c r="F233" s="72">
        <f t="shared" ref="F233" si="43">SUM(F224:F232)</f>
        <v>130127.36470688098</v>
      </c>
      <c r="G233" s="72">
        <f t="shared" ref="G233" si="44">SUM(G224:G232)</f>
        <v>130240.64715263665</v>
      </c>
    </row>
    <row r="234" spans="2:7" x14ac:dyDescent="0.25">
      <c r="B234" s="11">
        <v>43</v>
      </c>
      <c r="C234" t="s">
        <v>66</v>
      </c>
      <c r="D234" t="s">
        <v>7</v>
      </c>
      <c r="E234" s="6">
        <v>69.137</v>
      </c>
      <c r="F234" s="6">
        <v>13620.849600900412</v>
      </c>
      <c r="G234" s="6">
        <v>13689.986600900413</v>
      </c>
    </row>
    <row r="235" spans="2:7" x14ac:dyDescent="0.25">
      <c r="B235" s="11">
        <v>43</v>
      </c>
      <c r="C235" t="s">
        <v>66</v>
      </c>
      <c r="D235" t="s">
        <v>6</v>
      </c>
      <c r="E235" s="6">
        <v>0</v>
      </c>
      <c r="F235" s="6">
        <v>3452.1958714750731</v>
      </c>
      <c r="G235" s="6">
        <v>3452.1958714750731</v>
      </c>
    </row>
    <row r="236" spans="2:7" x14ac:dyDescent="0.25">
      <c r="B236" s="11">
        <v>43</v>
      </c>
      <c r="C236" t="s">
        <v>66</v>
      </c>
      <c r="D236" t="s">
        <v>21</v>
      </c>
      <c r="E236" s="6">
        <v>49736.577069355779</v>
      </c>
      <c r="F236" s="6">
        <v>749.6410296411857</v>
      </c>
      <c r="G236" s="6">
        <v>50486.218098996964</v>
      </c>
    </row>
    <row r="237" spans="2:7" x14ac:dyDescent="0.25">
      <c r="B237" s="11">
        <v>43</v>
      </c>
      <c r="C237" t="s">
        <v>66</v>
      </c>
      <c r="D237" t="s">
        <v>22</v>
      </c>
      <c r="E237" s="6">
        <v>40.335783856441964</v>
      </c>
      <c r="F237" s="6">
        <v>53.979425499025467</v>
      </c>
      <c r="G237" s="6">
        <v>94.315209355467445</v>
      </c>
    </row>
    <row r="238" spans="2:7" x14ac:dyDescent="0.25">
      <c r="B238" s="11">
        <v>43</v>
      </c>
      <c r="C238" t="s">
        <v>66</v>
      </c>
      <c r="D238" t="s">
        <v>23</v>
      </c>
      <c r="E238" s="6">
        <v>584.87199999999996</v>
      </c>
      <c r="F238" s="6">
        <v>2082.0436954004222</v>
      </c>
      <c r="G238" s="6">
        <v>2666.915695400422</v>
      </c>
    </row>
    <row r="239" spans="2:7" x14ac:dyDescent="0.25">
      <c r="B239" s="11">
        <v>43</v>
      </c>
      <c r="C239" t="s">
        <v>66</v>
      </c>
      <c r="D239" t="s">
        <v>24</v>
      </c>
      <c r="E239" s="6">
        <v>0</v>
      </c>
      <c r="F239" s="6">
        <v>2759.8760000000002</v>
      </c>
      <c r="G239" s="6">
        <v>2759.8760000000002</v>
      </c>
    </row>
    <row r="240" spans="2:7" x14ac:dyDescent="0.25">
      <c r="B240" s="11">
        <v>43</v>
      </c>
      <c r="C240" t="s">
        <v>66</v>
      </c>
      <c r="D240" t="s">
        <v>25</v>
      </c>
      <c r="E240" s="6">
        <v>0</v>
      </c>
      <c r="F240" s="6">
        <v>581.72329927175304</v>
      </c>
      <c r="G240" s="6">
        <v>581.72329927175304</v>
      </c>
    </row>
    <row r="241" spans="2:7" x14ac:dyDescent="0.25">
      <c r="B241" s="11">
        <v>43</v>
      </c>
      <c r="C241" t="s">
        <v>66</v>
      </c>
      <c r="D241" t="s">
        <v>26</v>
      </c>
      <c r="E241" s="6">
        <v>0</v>
      </c>
      <c r="F241" s="6">
        <v>0</v>
      </c>
      <c r="G241" s="6">
        <v>0</v>
      </c>
    </row>
    <row r="242" spans="2:7" x14ac:dyDescent="0.25">
      <c r="B242" s="11">
        <v>43</v>
      </c>
      <c r="C242" t="s">
        <v>66</v>
      </c>
      <c r="D242" t="s">
        <v>27</v>
      </c>
      <c r="E242" s="6">
        <v>5557</v>
      </c>
      <c r="F242" s="6">
        <v>0</v>
      </c>
      <c r="G242" s="6">
        <v>5557</v>
      </c>
    </row>
    <row r="243" spans="2:7" ht="15.75" thickBot="1" x14ac:dyDescent="0.3">
      <c r="B243" s="13"/>
      <c r="C243" s="3"/>
      <c r="D243" s="2" t="s">
        <v>42</v>
      </c>
      <c r="E243" s="72">
        <f>SUM(E234:E242)</f>
        <v>55987.921853212225</v>
      </c>
      <c r="F243" s="72">
        <f t="shared" ref="F243" si="45">SUM(F234:F242)</f>
        <v>23300.308922187873</v>
      </c>
      <c r="G243" s="72">
        <f t="shared" ref="G243" si="46">SUM(G234:G242)</f>
        <v>79288.230775400094</v>
      </c>
    </row>
    <row r="244" spans="2:7" x14ac:dyDescent="0.25">
      <c r="B244" s="11">
        <v>45</v>
      </c>
      <c r="C244" t="s">
        <v>67</v>
      </c>
      <c r="D244" t="s">
        <v>7</v>
      </c>
      <c r="E244" s="6">
        <v>21357.002000000004</v>
      </c>
      <c r="F244" s="6">
        <v>54.460510478715733</v>
      </c>
      <c r="G244" s="6">
        <v>21411.462510478719</v>
      </c>
    </row>
    <row r="245" spans="2:7" x14ac:dyDescent="0.25">
      <c r="B245" s="11">
        <v>45</v>
      </c>
      <c r="C245" t="s">
        <v>67</v>
      </c>
      <c r="D245" t="s">
        <v>6</v>
      </c>
      <c r="E245" s="6">
        <v>0</v>
      </c>
      <c r="F245" s="6">
        <v>1074.4436386717909</v>
      </c>
      <c r="G245" s="6">
        <v>1074.4436386717909</v>
      </c>
    </row>
    <row r="246" spans="2:7" x14ac:dyDescent="0.25">
      <c r="B246" s="11">
        <v>45</v>
      </c>
      <c r="C246" t="s">
        <v>67</v>
      </c>
      <c r="D246" t="s">
        <v>21</v>
      </c>
      <c r="E246" s="6">
        <v>330369.50922896777</v>
      </c>
      <c r="F246" s="6">
        <v>0</v>
      </c>
      <c r="G246" s="6">
        <v>330369.50922896777</v>
      </c>
    </row>
    <row r="247" spans="2:7" x14ac:dyDescent="0.25">
      <c r="B247" s="11">
        <v>45</v>
      </c>
      <c r="C247" t="s">
        <v>67</v>
      </c>
      <c r="D247" t="s">
        <v>22</v>
      </c>
      <c r="E247" s="6">
        <v>22.653717767771134</v>
      </c>
      <c r="F247" s="6">
        <v>111.94878688083878</v>
      </c>
      <c r="G247" s="6">
        <v>134.60250464860988</v>
      </c>
    </row>
    <row r="248" spans="2:7" x14ac:dyDescent="0.25">
      <c r="B248" s="11">
        <v>45</v>
      </c>
      <c r="C248" t="s">
        <v>67</v>
      </c>
      <c r="D248" t="s">
        <v>23</v>
      </c>
      <c r="E248" s="6">
        <v>913.12531099277805</v>
      </c>
      <c r="F248" s="6">
        <v>0</v>
      </c>
      <c r="G248" s="6">
        <v>913.12531099277805</v>
      </c>
    </row>
    <row r="249" spans="2:7" x14ac:dyDescent="0.25">
      <c r="B249" s="11">
        <v>45</v>
      </c>
      <c r="C249" t="s">
        <v>67</v>
      </c>
      <c r="D249" t="s">
        <v>24</v>
      </c>
      <c r="E249" s="6">
        <v>0</v>
      </c>
      <c r="F249" s="6">
        <v>0</v>
      </c>
      <c r="G249" s="6">
        <v>0</v>
      </c>
    </row>
    <row r="250" spans="2:7" x14ac:dyDescent="0.25">
      <c r="B250" s="11">
        <v>45</v>
      </c>
      <c r="C250" t="s">
        <v>67</v>
      </c>
      <c r="D250" t="s">
        <v>25</v>
      </c>
      <c r="E250" s="6">
        <v>2</v>
      </c>
      <c r="F250" s="6">
        <v>61.511153226474676</v>
      </c>
      <c r="G250" s="6">
        <v>63.511153226474676</v>
      </c>
    </row>
    <row r="251" spans="2:7" x14ac:dyDescent="0.25">
      <c r="B251" s="11">
        <v>45</v>
      </c>
      <c r="C251" t="s">
        <v>67</v>
      </c>
      <c r="D251" t="s">
        <v>26</v>
      </c>
      <c r="E251" s="6">
        <v>32473.989999999998</v>
      </c>
      <c r="F251" s="6">
        <v>0</v>
      </c>
      <c r="G251" s="6">
        <v>32473.989999999998</v>
      </c>
    </row>
    <row r="252" spans="2:7" x14ac:dyDescent="0.25">
      <c r="B252" s="11">
        <v>45</v>
      </c>
      <c r="C252" t="s">
        <v>67</v>
      </c>
      <c r="D252" t="s">
        <v>27</v>
      </c>
      <c r="E252" s="6">
        <v>27173.653483889786</v>
      </c>
      <c r="F252" s="6">
        <v>0</v>
      </c>
      <c r="G252" s="6">
        <v>27173.653483889786</v>
      </c>
    </row>
    <row r="253" spans="2:7" ht="15.75" thickBot="1" x14ac:dyDescent="0.3">
      <c r="B253" s="13"/>
      <c r="C253" s="3"/>
      <c r="D253" s="2" t="s">
        <v>42</v>
      </c>
      <c r="E253" s="72">
        <f>SUM(E244:E252)</f>
        <v>412311.93374161806</v>
      </c>
      <c r="F253" s="72">
        <f t="shared" ref="F253" si="47">SUM(F244:F252)</f>
        <v>1302.3640892578201</v>
      </c>
      <c r="G253" s="72">
        <f t="shared" ref="G253" si="48">SUM(G244:G252)</f>
        <v>413614.2978308759</v>
      </c>
    </row>
    <row r="254" spans="2:7" x14ac:dyDescent="0.25">
      <c r="B254" s="11">
        <v>47</v>
      </c>
      <c r="C254" t="s">
        <v>68</v>
      </c>
      <c r="D254" t="s">
        <v>7</v>
      </c>
      <c r="E254" s="6">
        <v>2141.8090000000002</v>
      </c>
      <c r="F254" s="6">
        <v>443.59641159284092</v>
      </c>
      <c r="G254" s="6">
        <v>2585.4054115928411</v>
      </c>
    </row>
    <row r="255" spans="2:7" x14ac:dyDescent="0.25">
      <c r="B255" s="11">
        <v>47</v>
      </c>
      <c r="C255" t="s">
        <v>68</v>
      </c>
      <c r="D255" t="s">
        <v>6</v>
      </c>
      <c r="E255" s="6">
        <v>0</v>
      </c>
      <c r="F255" s="6">
        <v>573.06050348149859</v>
      </c>
      <c r="G255" s="6">
        <v>573.06050348149859</v>
      </c>
    </row>
    <row r="256" spans="2:7" x14ac:dyDescent="0.25">
      <c r="B256" s="11">
        <v>47</v>
      </c>
      <c r="C256" t="s">
        <v>68</v>
      </c>
      <c r="D256" t="s">
        <v>21</v>
      </c>
      <c r="E256" s="6">
        <v>36028.475574684577</v>
      </c>
      <c r="F256" s="6">
        <v>0</v>
      </c>
      <c r="G256" s="6">
        <v>36028.475574684577</v>
      </c>
    </row>
    <row r="257" spans="2:7" x14ac:dyDescent="0.25">
      <c r="B257" s="11">
        <v>47</v>
      </c>
      <c r="C257" t="s">
        <v>68</v>
      </c>
      <c r="D257" t="s">
        <v>22</v>
      </c>
      <c r="E257" s="6">
        <v>13.661760422967493</v>
      </c>
      <c r="F257" s="6">
        <v>15.478997244438471</v>
      </c>
      <c r="G257" s="6">
        <v>29.140757667405964</v>
      </c>
    </row>
    <row r="258" spans="2:7" x14ac:dyDescent="0.25">
      <c r="B258" s="11">
        <v>47</v>
      </c>
      <c r="C258" t="s">
        <v>68</v>
      </c>
      <c r="D258" t="s">
        <v>23</v>
      </c>
      <c r="E258" s="6">
        <v>646.33000000000004</v>
      </c>
      <c r="F258" s="6">
        <v>395.05447376797747</v>
      </c>
      <c r="G258" s="6">
        <v>1041.3844737679774</v>
      </c>
    </row>
    <row r="259" spans="2:7" x14ac:dyDescent="0.25">
      <c r="B259" s="11">
        <v>47</v>
      </c>
      <c r="C259" t="s">
        <v>68</v>
      </c>
      <c r="D259" t="s">
        <v>24</v>
      </c>
      <c r="E259" s="6">
        <v>0</v>
      </c>
      <c r="F259" s="6">
        <v>0</v>
      </c>
      <c r="G259" s="6">
        <v>0</v>
      </c>
    </row>
    <row r="260" spans="2:7" x14ac:dyDescent="0.25">
      <c r="B260" s="11">
        <v>47</v>
      </c>
      <c r="C260" t="s">
        <v>68</v>
      </c>
      <c r="D260" t="s">
        <v>25</v>
      </c>
      <c r="E260" s="6">
        <v>0</v>
      </c>
      <c r="F260" s="6">
        <v>18</v>
      </c>
      <c r="G260" s="6">
        <v>18</v>
      </c>
    </row>
    <row r="261" spans="2:7" x14ac:dyDescent="0.25">
      <c r="B261" s="11">
        <v>47</v>
      </c>
      <c r="C261" t="s">
        <v>68</v>
      </c>
      <c r="D261" t="s">
        <v>26</v>
      </c>
      <c r="E261" s="6">
        <v>0</v>
      </c>
      <c r="F261" s="6">
        <v>0</v>
      </c>
      <c r="G261" s="6">
        <v>0</v>
      </c>
    </row>
    <row r="262" spans="2:7" x14ac:dyDescent="0.25">
      <c r="B262" s="11">
        <v>47</v>
      </c>
      <c r="C262" t="s">
        <v>68</v>
      </c>
      <c r="D262" t="s">
        <v>27</v>
      </c>
      <c r="E262" s="6">
        <v>31161.61075</v>
      </c>
      <c r="F262" s="6">
        <v>0</v>
      </c>
      <c r="G262" s="6">
        <v>31161.61075</v>
      </c>
    </row>
    <row r="263" spans="2:7" ht="15.75" thickBot="1" x14ac:dyDescent="0.3">
      <c r="B263" s="13"/>
      <c r="C263" s="3"/>
      <c r="D263" s="2" t="s">
        <v>42</v>
      </c>
      <c r="E263" s="72">
        <f>SUM(E254:E262)</f>
        <v>69991.887085107548</v>
      </c>
      <c r="F263" s="72">
        <f t="shared" ref="F263" si="49">SUM(F254:F262)</f>
        <v>1445.1903860867556</v>
      </c>
      <c r="G263" s="72">
        <f t="shared" ref="G263" si="50">SUM(G254:G262)</f>
        <v>71437.077471194294</v>
      </c>
    </row>
    <row r="264" spans="2:7" x14ac:dyDescent="0.25">
      <c r="B264" s="11">
        <v>49</v>
      </c>
      <c r="C264" t="s">
        <v>69</v>
      </c>
      <c r="D264" t="s">
        <v>7</v>
      </c>
      <c r="E264" s="6">
        <v>7185.3099999999995</v>
      </c>
      <c r="F264" s="6">
        <v>6988.9841532596902</v>
      </c>
      <c r="G264" s="6">
        <v>14174.294153259689</v>
      </c>
    </row>
    <row r="265" spans="2:7" x14ac:dyDescent="0.25">
      <c r="B265" s="11">
        <v>49</v>
      </c>
      <c r="C265" t="s">
        <v>69</v>
      </c>
      <c r="D265" t="s">
        <v>6</v>
      </c>
      <c r="E265" s="6">
        <v>0</v>
      </c>
      <c r="F265" s="6">
        <v>3092.9734750150906</v>
      </c>
      <c r="G265" s="6">
        <v>3092.9734750150906</v>
      </c>
    </row>
    <row r="266" spans="2:7" x14ac:dyDescent="0.25">
      <c r="B266" s="11">
        <v>49</v>
      </c>
      <c r="C266" t="s">
        <v>69</v>
      </c>
      <c r="D266" t="s">
        <v>21</v>
      </c>
      <c r="E266" s="6">
        <v>5914.4092274618406</v>
      </c>
      <c r="F266" s="6">
        <v>17088.450742089502</v>
      </c>
      <c r="G266" s="6">
        <v>23002.859969551344</v>
      </c>
    </row>
    <row r="267" spans="2:7" x14ac:dyDescent="0.25">
      <c r="B267" s="11">
        <v>49</v>
      </c>
      <c r="C267" t="s">
        <v>69</v>
      </c>
      <c r="D267" t="s">
        <v>22</v>
      </c>
      <c r="E267" s="6">
        <v>40.407061406456528</v>
      </c>
      <c r="F267" s="6">
        <v>60.477984643002536</v>
      </c>
      <c r="G267" s="6">
        <v>100.88504604945905</v>
      </c>
    </row>
    <row r="268" spans="2:7" x14ac:dyDescent="0.25">
      <c r="B268" s="11">
        <v>49</v>
      </c>
      <c r="C268" t="s">
        <v>69</v>
      </c>
      <c r="D268" t="s">
        <v>23</v>
      </c>
      <c r="E268" s="6">
        <v>392.32299999999998</v>
      </c>
      <c r="F268" s="6">
        <v>1066.0336470092634</v>
      </c>
      <c r="G268" s="6">
        <v>1458.3566470092633</v>
      </c>
    </row>
    <row r="269" spans="2:7" x14ac:dyDescent="0.25">
      <c r="B269" s="11">
        <v>49</v>
      </c>
      <c r="C269" t="s">
        <v>69</v>
      </c>
      <c r="D269" t="s">
        <v>24</v>
      </c>
      <c r="E269" s="6">
        <v>0</v>
      </c>
      <c r="F269" s="6">
        <v>0</v>
      </c>
      <c r="G269" s="6">
        <v>0</v>
      </c>
    </row>
    <row r="270" spans="2:7" x14ac:dyDescent="0.25">
      <c r="B270" s="11">
        <v>49</v>
      </c>
      <c r="C270" t="s">
        <v>69</v>
      </c>
      <c r="D270" t="s">
        <v>25</v>
      </c>
      <c r="E270" s="6">
        <v>0</v>
      </c>
      <c r="F270" s="6">
        <v>22.164860626482657</v>
      </c>
      <c r="G270" s="6">
        <v>22.164860626482657</v>
      </c>
    </row>
    <row r="271" spans="2:7" x14ac:dyDescent="0.25">
      <c r="B271" s="11">
        <v>49</v>
      </c>
      <c r="C271" t="s">
        <v>69</v>
      </c>
      <c r="D271" t="s">
        <v>26</v>
      </c>
      <c r="E271" s="6">
        <v>0</v>
      </c>
      <c r="F271" s="6">
        <v>0</v>
      </c>
      <c r="G271" s="6">
        <v>0</v>
      </c>
    </row>
    <row r="272" spans="2:7" x14ac:dyDescent="0.25">
      <c r="B272" s="11">
        <v>49</v>
      </c>
      <c r="C272" t="s">
        <v>69</v>
      </c>
      <c r="D272" t="s">
        <v>27</v>
      </c>
      <c r="E272" s="6">
        <v>0</v>
      </c>
      <c r="F272" s="6">
        <v>0</v>
      </c>
      <c r="G272" s="6">
        <v>0</v>
      </c>
    </row>
    <row r="273" spans="2:7" ht="15.75" thickBot="1" x14ac:dyDescent="0.3">
      <c r="B273" s="13"/>
      <c r="C273" s="3"/>
      <c r="D273" s="2" t="s">
        <v>42</v>
      </c>
      <c r="E273" s="72">
        <f>SUM(E264:E272)</f>
        <v>13532.449288868296</v>
      </c>
      <c r="F273" s="72">
        <f t="shared" ref="F273" si="51">SUM(F264:F272)</f>
        <v>28319.084862643031</v>
      </c>
      <c r="G273" s="72">
        <f t="shared" ref="G273" si="52">SUM(G264:G272)</f>
        <v>41851.534151511332</v>
      </c>
    </row>
    <row r="274" spans="2:7" x14ac:dyDescent="0.25">
      <c r="B274" s="11">
        <v>51</v>
      </c>
      <c r="C274" t="s">
        <v>70</v>
      </c>
      <c r="D274" t="s">
        <v>7</v>
      </c>
      <c r="E274" s="6">
        <v>0</v>
      </c>
      <c r="F274" s="6">
        <v>1893.1497252994775</v>
      </c>
      <c r="G274" s="6">
        <v>1893.1497252994775</v>
      </c>
    </row>
    <row r="275" spans="2:7" x14ac:dyDescent="0.25">
      <c r="B275" s="11">
        <v>51</v>
      </c>
      <c r="C275" t="s">
        <v>70</v>
      </c>
      <c r="D275" t="s">
        <v>6</v>
      </c>
      <c r="E275" s="6">
        <v>0</v>
      </c>
      <c r="F275" s="6">
        <v>124.738111156567</v>
      </c>
      <c r="G275" s="6">
        <v>124.738111156567</v>
      </c>
    </row>
    <row r="276" spans="2:7" x14ac:dyDescent="0.25">
      <c r="B276" s="11">
        <v>51</v>
      </c>
      <c r="C276" t="s">
        <v>70</v>
      </c>
      <c r="D276" t="s">
        <v>21</v>
      </c>
      <c r="E276" s="6">
        <v>9057.9788883104447</v>
      </c>
      <c r="F276" s="6">
        <v>11177.278427073741</v>
      </c>
      <c r="G276" s="6">
        <v>20235.257315384188</v>
      </c>
    </row>
    <row r="277" spans="2:7" x14ac:dyDescent="0.25">
      <c r="B277" s="11">
        <v>51</v>
      </c>
      <c r="C277" t="s">
        <v>70</v>
      </c>
      <c r="D277" t="s">
        <v>22</v>
      </c>
      <c r="E277" s="6">
        <v>44.321169684342586</v>
      </c>
      <c r="F277" s="6">
        <v>339.29255883683942</v>
      </c>
      <c r="G277" s="6">
        <v>383.613728521182</v>
      </c>
    </row>
    <row r="278" spans="2:7" x14ac:dyDescent="0.25">
      <c r="B278" s="11">
        <v>51</v>
      </c>
      <c r="C278" t="s">
        <v>70</v>
      </c>
      <c r="D278" t="s">
        <v>23</v>
      </c>
      <c r="E278" s="6">
        <v>0</v>
      </c>
      <c r="F278" s="6">
        <v>1056.1753272838482</v>
      </c>
      <c r="G278" s="6">
        <v>1056.1753272838482</v>
      </c>
    </row>
    <row r="279" spans="2:7" x14ac:dyDescent="0.25">
      <c r="B279" s="11">
        <v>51</v>
      </c>
      <c r="C279" t="s">
        <v>70</v>
      </c>
      <c r="D279" t="s">
        <v>24</v>
      </c>
      <c r="E279" s="6">
        <v>0</v>
      </c>
      <c r="F279" s="6">
        <v>0</v>
      </c>
      <c r="G279" s="6">
        <v>0</v>
      </c>
    </row>
    <row r="280" spans="2:7" x14ac:dyDescent="0.25">
      <c r="B280" s="11">
        <v>51</v>
      </c>
      <c r="C280" t="s">
        <v>70</v>
      </c>
      <c r="D280" t="s">
        <v>25</v>
      </c>
      <c r="E280" s="6">
        <v>0</v>
      </c>
      <c r="F280" s="6">
        <v>14.199851735916109</v>
      </c>
      <c r="G280" s="6">
        <v>14.199851735916109</v>
      </c>
    </row>
    <row r="281" spans="2:7" x14ac:dyDescent="0.25">
      <c r="B281" s="11">
        <v>51</v>
      </c>
      <c r="C281" t="s">
        <v>70</v>
      </c>
      <c r="D281" t="s">
        <v>26</v>
      </c>
      <c r="E281" s="6">
        <v>0</v>
      </c>
      <c r="F281" s="6">
        <v>0</v>
      </c>
      <c r="G281" s="6">
        <v>0</v>
      </c>
    </row>
    <row r="282" spans="2:7" x14ac:dyDescent="0.25">
      <c r="B282" s="11">
        <v>51</v>
      </c>
      <c r="C282" t="s">
        <v>70</v>
      </c>
      <c r="D282" t="s">
        <v>27</v>
      </c>
      <c r="E282" s="6">
        <v>109334.93738275999</v>
      </c>
      <c r="F282" s="6">
        <v>0</v>
      </c>
      <c r="G282" s="6">
        <v>109334.93738275999</v>
      </c>
    </row>
    <row r="283" spans="2:7" ht="15.75" thickBot="1" x14ac:dyDescent="0.3">
      <c r="B283" s="13"/>
      <c r="C283" s="3"/>
      <c r="D283" s="2" t="s">
        <v>42</v>
      </c>
      <c r="E283" s="72">
        <f>SUM(E274:E282)</f>
        <v>118437.23744075478</v>
      </c>
      <c r="F283" s="72">
        <f t="shared" ref="F283" si="53">SUM(F274:F282)</f>
        <v>14604.834001386389</v>
      </c>
      <c r="G283" s="72">
        <f t="shared" ref="G283" si="54">SUM(G274:G282)</f>
        <v>133042.07144214117</v>
      </c>
    </row>
    <row r="284" spans="2:7" x14ac:dyDescent="0.25">
      <c r="B284" s="11">
        <v>53</v>
      </c>
      <c r="C284" t="s">
        <v>71</v>
      </c>
      <c r="D284" t="s">
        <v>7</v>
      </c>
      <c r="E284" s="6">
        <v>0.79100000000000004</v>
      </c>
      <c r="F284" s="6">
        <v>2337.8610273130971</v>
      </c>
      <c r="G284" s="6">
        <v>2338.6520273130973</v>
      </c>
    </row>
    <row r="285" spans="2:7" x14ac:dyDescent="0.25">
      <c r="B285" s="11">
        <v>53</v>
      </c>
      <c r="C285" t="s">
        <v>71</v>
      </c>
      <c r="D285" t="s">
        <v>6</v>
      </c>
      <c r="E285" s="6">
        <v>0</v>
      </c>
      <c r="F285" s="6">
        <v>268.38408255310213</v>
      </c>
      <c r="G285" s="6">
        <v>268.38408255310213</v>
      </c>
    </row>
    <row r="286" spans="2:7" x14ac:dyDescent="0.25">
      <c r="B286" s="11">
        <v>53</v>
      </c>
      <c r="C286" t="s">
        <v>71</v>
      </c>
      <c r="D286" t="s">
        <v>21</v>
      </c>
      <c r="E286" s="6">
        <v>90072.116537047332</v>
      </c>
      <c r="F286" s="6">
        <v>28789.049813216392</v>
      </c>
      <c r="G286" s="6">
        <v>118861.16635026372</v>
      </c>
    </row>
    <row r="287" spans="2:7" x14ac:dyDescent="0.25">
      <c r="B287" s="11">
        <v>53</v>
      </c>
      <c r="C287" t="s">
        <v>71</v>
      </c>
      <c r="D287" t="s">
        <v>22</v>
      </c>
      <c r="E287" s="6">
        <v>6.1160024195174403</v>
      </c>
      <c r="F287" s="6">
        <v>918.01142203471682</v>
      </c>
      <c r="G287" s="6">
        <v>924.12742445423419</v>
      </c>
    </row>
    <row r="288" spans="2:7" x14ac:dyDescent="0.25">
      <c r="B288" s="11">
        <v>53</v>
      </c>
      <c r="C288" t="s">
        <v>71</v>
      </c>
      <c r="D288" t="s">
        <v>23</v>
      </c>
      <c r="E288" s="6">
        <v>0</v>
      </c>
      <c r="F288" s="6">
        <v>1219.61747428119</v>
      </c>
      <c r="G288" s="6">
        <v>1219.61747428119</v>
      </c>
    </row>
    <row r="289" spans="2:7" x14ac:dyDescent="0.25">
      <c r="B289" s="11">
        <v>53</v>
      </c>
      <c r="C289" t="s">
        <v>71</v>
      </c>
      <c r="D289" t="s">
        <v>24</v>
      </c>
      <c r="E289" s="6">
        <v>0</v>
      </c>
      <c r="F289" s="6">
        <v>0.38800000000000001</v>
      </c>
      <c r="G289" s="6">
        <v>0.38800000000000001</v>
      </c>
    </row>
    <row r="290" spans="2:7" x14ac:dyDescent="0.25">
      <c r="B290" s="11">
        <v>53</v>
      </c>
      <c r="C290" t="s">
        <v>71</v>
      </c>
      <c r="D290" t="s">
        <v>25</v>
      </c>
      <c r="E290" s="6">
        <v>0</v>
      </c>
      <c r="F290" s="6">
        <v>40.821473618310208</v>
      </c>
      <c r="G290" s="6">
        <v>40.821473618310208</v>
      </c>
    </row>
    <row r="291" spans="2:7" x14ac:dyDescent="0.25">
      <c r="B291" s="11">
        <v>53</v>
      </c>
      <c r="C291" t="s">
        <v>71</v>
      </c>
      <c r="D291" t="s">
        <v>26</v>
      </c>
      <c r="E291" s="6">
        <v>0</v>
      </c>
      <c r="F291" s="6">
        <v>0</v>
      </c>
      <c r="G291" s="6">
        <v>0</v>
      </c>
    </row>
    <row r="292" spans="2:7" x14ac:dyDescent="0.25">
      <c r="B292" s="11">
        <v>53</v>
      </c>
      <c r="C292" t="s">
        <v>71</v>
      </c>
      <c r="D292" t="s">
        <v>27</v>
      </c>
      <c r="E292" s="6">
        <v>2357.2850000000003</v>
      </c>
      <c r="F292" s="6">
        <v>0</v>
      </c>
      <c r="G292" s="6">
        <v>2357.2850000000003</v>
      </c>
    </row>
    <row r="293" spans="2:7" ht="15.75" thickBot="1" x14ac:dyDescent="0.3">
      <c r="B293" s="13"/>
      <c r="C293" s="3"/>
      <c r="D293" s="2" t="s">
        <v>42</v>
      </c>
      <c r="E293" s="72">
        <f>SUM(E284:E292)</f>
        <v>92436.308539466845</v>
      </c>
      <c r="F293" s="72">
        <f t="shared" ref="F293" si="55">SUM(F284:F292)</f>
        <v>33574.133293016806</v>
      </c>
      <c r="G293" s="72">
        <f t="shared" ref="G293" si="56">SUM(G284:G292)</f>
        <v>126010.44183248366</v>
      </c>
    </row>
    <row r="294" spans="2:7" x14ac:dyDescent="0.25">
      <c r="B294" s="11">
        <v>55</v>
      </c>
      <c r="C294" t="s">
        <v>72</v>
      </c>
      <c r="D294" t="s">
        <v>7</v>
      </c>
      <c r="E294" s="6">
        <v>62</v>
      </c>
      <c r="F294" s="6">
        <v>2495.3341308573658</v>
      </c>
      <c r="G294" s="6">
        <v>2557.3341308573658</v>
      </c>
    </row>
    <row r="295" spans="2:7" x14ac:dyDescent="0.25">
      <c r="B295" s="11">
        <v>55</v>
      </c>
      <c r="C295" t="s">
        <v>72</v>
      </c>
      <c r="D295" t="s">
        <v>6</v>
      </c>
      <c r="E295" s="6">
        <v>0</v>
      </c>
      <c r="F295" s="6">
        <v>1446.3168922895054</v>
      </c>
      <c r="G295" s="6">
        <v>1446.3168922895054</v>
      </c>
    </row>
    <row r="296" spans="2:7" x14ac:dyDescent="0.25">
      <c r="B296" s="11">
        <v>55</v>
      </c>
      <c r="C296" t="s">
        <v>72</v>
      </c>
      <c r="D296" t="s">
        <v>21</v>
      </c>
      <c r="E296" s="6">
        <v>65379.527765476196</v>
      </c>
      <c r="F296" s="6">
        <v>3917.3076923076924</v>
      </c>
      <c r="G296" s="6">
        <v>69296.835457783891</v>
      </c>
    </row>
    <row r="297" spans="2:7" x14ac:dyDescent="0.25">
      <c r="B297" s="11">
        <v>55</v>
      </c>
      <c r="C297" t="s">
        <v>72</v>
      </c>
      <c r="D297" t="s">
        <v>22</v>
      </c>
      <c r="E297" s="6">
        <v>34.85606111521831</v>
      </c>
      <c r="F297" s="6">
        <v>51.376571006116009</v>
      </c>
      <c r="G297" s="6">
        <v>86.232632121334319</v>
      </c>
    </row>
    <row r="298" spans="2:7" x14ac:dyDescent="0.25">
      <c r="B298" s="11">
        <v>55</v>
      </c>
      <c r="C298" t="s">
        <v>72</v>
      </c>
      <c r="D298" t="s">
        <v>23</v>
      </c>
      <c r="E298" s="6">
        <v>9772.3590000000004</v>
      </c>
      <c r="F298" s="6">
        <v>606.42214489893104</v>
      </c>
      <c r="G298" s="6">
        <v>10378.781144898931</v>
      </c>
    </row>
    <row r="299" spans="2:7" x14ac:dyDescent="0.25">
      <c r="B299" s="11">
        <v>55</v>
      </c>
      <c r="C299" t="s">
        <v>72</v>
      </c>
      <c r="D299" t="s">
        <v>24</v>
      </c>
      <c r="E299" s="6">
        <v>0</v>
      </c>
      <c r="F299" s="6">
        <v>0</v>
      </c>
      <c r="G299" s="6">
        <v>0</v>
      </c>
    </row>
    <row r="300" spans="2:7" x14ac:dyDescent="0.25">
      <c r="B300" s="11">
        <v>55</v>
      </c>
      <c r="C300" t="s">
        <v>72</v>
      </c>
      <c r="D300" t="s">
        <v>25</v>
      </c>
      <c r="E300" s="6">
        <v>3.0688873135267344E-2</v>
      </c>
      <c r="F300" s="6">
        <v>94.871535244636362</v>
      </c>
      <c r="G300" s="6">
        <v>94.902224117771624</v>
      </c>
    </row>
    <row r="301" spans="2:7" x14ac:dyDescent="0.25">
      <c r="B301" s="11">
        <v>55</v>
      </c>
      <c r="C301" t="s">
        <v>72</v>
      </c>
      <c r="D301" t="s">
        <v>26</v>
      </c>
      <c r="E301" s="6">
        <v>0</v>
      </c>
      <c r="F301" s="6">
        <v>0</v>
      </c>
      <c r="G301" s="6">
        <v>0</v>
      </c>
    </row>
    <row r="302" spans="2:7" x14ac:dyDescent="0.25">
      <c r="B302" s="11">
        <v>55</v>
      </c>
      <c r="C302" t="s">
        <v>72</v>
      </c>
      <c r="D302" t="s">
        <v>27</v>
      </c>
      <c r="E302" s="6">
        <v>441.88951824166668</v>
      </c>
      <c r="F302" s="6">
        <v>0</v>
      </c>
      <c r="G302" s="6">
        <v>441.88951824166668</v>
      </c>
    </row>
    <row r="303" spans="2:7" ht="15.75" thickBot="1" x14ac:dyDescent="0.3">
      <c r="B303" s="13"/>
      <c r="C303" s="3"/>
      <c r="D303" s="2" t="s">
        <v>42</v>
      </c>
      <c r="E303" s="72">
        <f>SUM(E294:E302)</f>
        <v>75690.663033706209</v>
      </c>
      <c r="F303" s="72">
        <f t="shared" ref="F303" si="57">SUM(F294:F302)</f>
        <v>8611.6289666042467</v>
      </c>
      <c r="G303" s="72">
        <f t="shared" ref="G303" si="58">SUM(G294:G302)</f>
        <v>84302.292000310466</v>
      </c>
    </row>
    <row r="304" spans="2:7" x14ac:dyDescent="0.25">
      <c r="B304" s="11">
        <v>57</v>
      </c>
      <c r="C304" t="s">
        <v>73</v>
      </c>
      <c r="D304" t="s">
        <v>7</v>
      </c>
      <c r="E304" s="6">
        <v>0</v>
      </c>
      <c r="F304" s="6">
        <v>1170.7156248223882</v>
      </c>
      <c r="G304" s="6">
        <v>1170.7156248223882</v>
      </c>
    </row>
    <row r="305" spans="2:7" x14ac:dyDescent="0.25">
      <c r="B305" s="11">
        <v>57</v>
      </c>
      <c r="C305" t="s">
        <v>73</v>
      </c>
      <c r="D305" t="s">
        <v>6</v>
      </c>
      <c r="E305" s="6">
        <v>0</v>
      </c>
      <c r="F305" s="6">
        <v>550.12016119983105</v>
      </c>
      <c r="G305" s="6">
        <v>550.12016119983105</v>
      </c>
    </row>
    <row r="306" spans="2:7" x14ac:dyDescent="0.25">
      <c r="B306" s="11">
        <v>57</v>
      </c>
      <c r="C306" t="s">
        <v>73</v>
      </c>
      <c r="D306" t="s">
        <v>21</v>
      </c>
      <c r="E306" s="6">
        <v>0</v>
      </c>
      <c r="F306" s="6">
        <v>32981.076139176694</v>
      </c>
      <c r="G306" s="6">
        <v>32981.076139176694</v>
      </c>
    </row>
    <row r="307" spans="2:7" x14ac:dyDescent="0.25">
      <c r="B307" s="11">
        <v>57</v>
      </c>
      <c r="C307" t="s">
        <v>73</v>
      </c>
      <c r="D307" t="s">
        <v>22</v>
      </c>
      <c r="E307" s="6">
        <v>36.530164769137713</v>
      </c>
      <c r="F307" s="6">
        <v>414.18901438716767</v>
      </c>
      <c r="G307" s="6">
        <v>450.71917915630536</v>
      </c>
    </row>
    <row r="308" spans="2:7" x14ac:dyDescent="0.25">
      <c r="B308" s="11">
        <v>57</v>
      </c>
      <c r="C308" t="s">
        <v>73</v>
      </c>
      <c r="D308" t="s">
        <v>23</v>
      </c>
      <c r="E308" s="6">
        <v>0</v>
      </c>
      <c r="F308" s="6">
        <v>200.47052625279656</v>
      </c>
      <c r="G308" s="6">
        <v>200.47052625279656</v>
      </c>
    </row>
    <row r="309" spans="2:7" x14ac:dyDescent="0.25">
      <c r="B309" s="11">
        <v>57</v>
      </c>
      <c r="C309" t="s">
        <v>73</v>
      </c>
      <c r="D309" t="s">
        <v>24</v>
      </c>
      <c r="E309" s="6">
        <v>0</v>
      </c>
      <c r="F309" s="6">
        <v>0</v>
      </c>
      <c r="G309" s="6">
        <v>0</v>
      </c>
    </row>
    <row r="310" spans="2:7" x14ac:dyDescent="0.25">
      <c r="B310" s="11">
        <v>57</v>
      </c>
      <c r="C310" t="s">
        <v>73</v>
      </c>
      <c r="D310" t="s">
        <v>25</v>
      </c>
      <c r="E310" s="6">
        <v>0</v>
      </c>
      <c r="F310" s="6">
        <v>84.378</v>
      </c>
      <c r="G310" s="6">
        <v>84.378</v>
      </c>
    </row>
    <row r="311" spans="2:7" x14ac:dyDescent="0.25">
      <c r="B311" s="11">
        <v>57</v>
      </c>
      <c r="C311" t="s">
        <v>73</v>
      </c>
      <c r="D311" t="s">
        <v>26</v>
      </c>
      <c r="E311" s="6">
        <v>0</v>
      </c>
      <c r="F311" s="6">
        <v>0</v>
      </c>
      <c r="G311" s="6">
        <v>0</v>
      </c>
    </row>
    <row r="312" spans="2:7" x14ac:dyDescent="0.25">
      <c r="B312" s="11">
        <v>57</v>
      </c>
      <c r="C312" t="s">
        <v>73</v>
      </c>
      <c r="D312" t="s">
        <v>27</v>
      </c>
      <c r="E312" s="6">
        <v>0</v>
      </c>
      <c r="F312" s="6">
        <v>0</v>
      </c>
      <c r="G312" s="6">
        <v>0</v>
      </c>
    </row>
    <row r="313" spans="2:7" ht="15.75" thickBot="1" x14ac:dyDescent="0.3">
      <c r="B313" s="13"/>
      <c r="C313" s="3"/>
      <c r="D313" s="2" t="s">
        <v>42</v>
      </c>
      <c r="E313" s="72">
        <f>SUM(E304:E312)</f>
        <v>36.530164769137713</v>
      </c>
      <c r="F313" s="72">
        <f t="shared" ref="F313" si="59">SUM(F304:F312)</f>
        <v>35400.949465838865</v>
      </c>
      <c r="G313" s="72">
        <f t="shared" ref="G313" si="60">SUM(G304:G312)</f>
        <v>35437.479630608002</v>
      </c>
    </row>
    <row r="314" spans="2:7" x14ac:dyDescent="0.25">
      <c r="B314" s="11">
        <v>59</v>
      </c>
      <c r="C314" t="s">
        <v>74</v>
      </c>
      <c r="D314" t="s">
        <v>7</v>
      </c>
      <c r="E314" s="6">
        <v>0</v>
      </c>
      <c r="F314" s="6">
        <v>723.92667605746192</v>
      </c>
      <c r="G314" s="6">
        <v>723.92667605746192</v>
      </c>
    </row>
    <row r="315" spans="2:7" x14ac:dyDescent="0.25">
      <c r="B315" s="11">
        <v>59</v>
      </c>
      <c r="C315" t="s">
        <v>74</v>
      </c>
      <c r="D315" t="s">
        <v>6</v>
      </c>
      <c r="E315" s="6">
        <v>0</v>
      </c>
      <c r="F315" s="6">
        <v>98.03411896931344</v>
      </c>
      <c r="G315" s="6">
        <v>98.03411896931344</v>
      </c>
    </row>
    <row r="316" spans="2:7" x14ac:dyDescent="0.25">
      <c r="B316" s="11">
        <v>59</v>
      </c>
      <c r="C316" t="s">
        <v>74</v>
      </c>
      <c r="D316" t="s">
        <v>21</v>
      </c>
      <c r="E316" s="6">
        <v>0</v>
      </c>
      <c r="F316" s="6">
        <v>90170.639971318044</v>
      </c>
      <c r="G316" s="6">
        <v>90170.639971318044</v>
      </c>
    </row>
    <row r="317" spans="2:7" x14ac:dyDescent="0.25">
      <c r="B317" s="11">
        <v>59</v>
      </c>
      <c r="C317" t="s">
        <v>74</v>
      </c>
      <c r="D317" t="s">
        <v>22</v>
      </c>
      <c r="E317" s="6">
        <v>254.61233953894751</v>
      </c>
      <c r="F317" s="6">
        <v>2297.8203508300289</v>
      </c>
      <c r="G317" s="6">
        <v>2552.4326903689762</v>
      </c>
    </row>
    <row r="318" spans="2:7" x14ac:dyDescent="0.25">
      <c r="B318" s="11">
        <v>59</v>
      </c>
      <c r="C318" t="s">
        <v>74</v>
      </c>
      <c r="D318" t="s">
        <v>23</v>
      </c>
      <c r="E318" s="6">
        <v>0</v>
      </c>
      <c r="F318" s="6">
        <v>115.66634750238606</v>
      </c>
      <c r="G318" s="6">
        <v>115.66634750238606</v>
      </c>
    </row>
    <row r="319" spans="2:7" x14ac:dyDescent="0.25">
      <c r="B319" s="11">
        <v>59</v>
      </c>
      <c r="C319" t="s">
        <v>74</v>
      </c>
      <c r="D319" t="s">
        <v>24</v>
      </c>
      <c r="E319" s="6">
        <v>0</v>
      </c>
      <c r="F319" s="6">
        <v>0</v>
      </c>
      <c r="G319" s="6">
        <v>0</v>
      </c>
    </row>
    <row r="320" spans="2:7" x14ac:dyDescent="0.25">
      <c r="B320" s="11">
        <v>59</v>
      </c>
      <c r="C320" t="s">
        <v>74</v>
      </c>
      <c r="D320" t="s">
        <v>25</v>
      </c>
      <c r="E320" s="6">
        <v>0</v>
      </c>
      <c r="F320" s="6">
        <v>13</v>
      </c>
      <c r="G320" s="6">
        <v>13</v>
      </c>
    </row>
    <row r="321" spans="2:7" x14ac:dyDescent="0.25">
      <c r="B321" s="11">
        <v>59</v>
      </c>
      <c r="C321" t="s">
        <v>74</v>
      </c>
      <c r="D321" t="s">
        <v>26</v>
      </c>
      <c r="E321" s="6">
        <v>0</v>
      </c>
      <c r="F321" s="6">
        <v>0</v>
      </c>
      <c r="G321" s="6">
        <v>0</v>
      </c>
    </row>
    <row r="322" spans="2:7" x14ac:dyDescent="0.25">
      <c r="B322" s="11">
        <v>59</v>
      </c>
      <c r="C322" t="s">
        <v>74</v>
      </c>
      <c r="D322" t="s">
        <v>27</v>
      </c>
      <c r="E322" s="6">
        <v>257.78258333333338</v>
      </c>
      <c r="F322" s="6">
        <v>0</v>
      </c>
      <c r="G322" s="6">
        <v>257.78258333333338</v>
      </c>
    </row>
    <row r="323" spans="2:7" ht="15.75" thickBot="1" x14ac:dyDescent="0.3">
      <c r="B323" s="13"/>
      <c r="C323" s="3"/>
      <c r="D323" s="2" t="s">
        <v>42</v>
      </c>
      <c r="E323" s="72">
        <f>SUM(E314:E322)</f>
        <v>512.39492287228086</v>
      </c>
      <c r="F323" s="72">
        <f t="shared" ref="F323" si="61">SUM(F314:F322)</f>
        <v>93419.087464677243</v>
      </c>
      <c r="G323" s="72">
        <f t="shared" ref="G323" si="62">SUM(G314:G322)</f>
        <v>93931.48238754952</v>
      </c>
    </row>
    <row r="324" spans="2:7" x14ac:dyDescent="0.25">
      <c r="B324" s="11">
        <v>61</v>
      </c>
      <c r="C324" t="s">
        <v>75</v>
      </c>
      <c r="D324" t="s">
        <v>7</v>
      </c>
      <c r="E324" s="6">
        <v>0</v>
      </c>
      <c r="F324" s="6">
        <v>6548.7107294031139</v>
      </c>
      <c r="G324" s="6">
        <v>6548.7107294031139</v>
      </c>
    </row>
    <row r="325" spans="2:7" x14ac:dyDescent="0.25">
      <c r="B325" s="11">
        <v>61</v>
      </c>
      <c r="C325" t="s">
        <v>75</v>
      </c>
      <c r="D325" t="s">
        <v>6</v>
      </c>
      <c r="E325" s="6">
        <v>0</v>
      </c>
      <c r="F325" s="6">
        <v>3724.2211922894576</v>
      </c>
      <c r="G325" s="6">
        <v>3724.2211922894576</v>
      </c>
    </row>
    <row r="326" spans="2:7" x14ac:dyDescent="0.25">
      <c r="B326" s="11">
        <v>61</v>
      </c>
      <c r="C326" t="s">
        <v>75</v>
      </c>
      <c r="D326" t="s">
        <v>21</v>
      </c>
      <c r="E326" s="6">
        <v>137904.46862817305</v>
      </c>
      <c r="F326" s="6">
        <v>8996.8952211760534</v>
      </c>
      <c r="G326" s="6">
        <v>146901.36384934912</v>
      </c>
    </row>
    <row r="327" spans="2:7" x14ac:dyDescent="0.25">
      <c r="B327" s="11">
        <v>61</v>
      </c>
      <c r="C327" t="s">
        <v>75</v>
      </c>
      <c r="D327" t="s">
        <v>22</v>
      </c>
      <c r="E327" s="6">
        <v>19.470573739274595</v>
      </c>
      <c r="F327" s="6">
        <v>717.8564867710644</v>
      </c>
      <c r="G327" s="6">
        <v>737.32706051033892</v>
      </c>
    </row>
    <row r="328" spans="2:7" x14ac:dyDescent="0.25">
      <c r="B328" s="11">
        <v>61</v>
      </c>
      <c r="C328" t="s">
        <v>75</v>
      </c>
      <c r="D328" t="s">
        <v>23</v>
      </c>
      <c r="E328" s="6">
        <v>13.02</v>
      </c>
      <c r="F328" s="6">
        <v>598.13951620525938</v>
      </c>
      <c r="G328" s="6">
        <v>611.15951620525937</v>
      </c>
    </row>
    <row r="329" spans="2:7" x14ac:dyDescent="0.25">
      <c r="B329" s="11">
        <v>61</v>
      </c>
      <c r="C329" t="s">
        <v>75</v>
      </c>
      <c r="D329" t="s">
        <v>24</v>
      </c>
      <c r="E329" s="6">
        <v>0</v>
      </c>
      <c r="F329" s="6">
        <v>2.2869999999999999</v>
      </c>
      <c r="G329" s="6">
        <v>2.2869999999999999</v>
      </c>
    </row>
    <row r="330" spans="2:7" x14ac:dyDescent="0.25">
      <c r="B330" s="11">
        <v>61</v>
      </c>
      <c r="C330" t="s">
        <v>75</v>
      </c>
      <c r="D330" t="s">
        <v>25</v>
      </c>
      <c r="E330" s="6">
        <v>0</v>
      </c>
      <c r="F330" s="6">
        <v>238.76900000000001</v>
      </c>
      <c r="G330" s="6">
        <v>238.76900000000001</v>
      </c>
    </row>
    <row r="331" spans="2:7" x14ac:dyDescent="0.25">
      <c r="B331" s="11">
        <v>61</v>
      </c>
      <c r="C331" t="s">
        <v>75</v>
      </c>
      <c r="D331" t="s">
        <v>26</v>
      </c>
      <c r="E331" s="6">
        <v>0</v>
      </c>
      <c r="F331" s="6">
        <v>2.19</v>
      </c>
      <c r="G331" s="6">
        <v>2.19</v>
      </c>
    </row>
    <row r="332" spans="2:7" x14ac:dyDescent="0.25">
      <c r="B332" s="11">
        <v>61</v>
      </c>
      <c r="C332" t="s">
        <v>75</v>
      </c>
      <c r="D332" t="s">
        <v>27</v>
      </c>
      <c r="E332" s="6">
        <v>0</v>
      </c>
      <c r="F332" s="6">
        <v>0</v>
      </c>
      <c r="G332" s="6">
        <v>0</v>
      </c>
    </row>
    <row r="333" spans="2:7" ht="15.75" thickBot="1" x14ac:dyDescent="0.3">
      <c r="B333" s="13"/>
      <c r="C333" s="3"/>
      <c r="D333" s="2" t="s">
        <v>42</v>
      </c>
      <c r="E333" s="72">
        <f>SUM(E324:E332)</f>
        <v>137936.95920191231</v>
      </c>
      <c r="F333" s="72">
        <f t="shared" ref="F333" si="63">SUM(F324:F332)</f>
        <v>20829.069145844947</v>
      </c>
      <c r="G333" s="72">
        <f t="shared" ref="G333" si="64">SUM(G324:G332)</f>
        <v>158766.0283477573</v>
      </c>
    </row>
    <row r="334" spans="2:7" x14ac:dyDescent="0.25">
      <c r="D334" s="1" t="s">
        <v>15</v>
      </c>
      <c r="E334" s="73">
        <f>E13+E23+E33+E43+E53+E63+E73+E83+E93+E103+E113+E123+E133+E143+E153+E163+E173+E183+E193+E203+E213+E223+E233+E243+E253+E263+E273+E283+E293+E303+E313+E323+E333</f>
        <v>1882385.3190368237</v>
      </c>
      <c r="F334" s="73">
        <f>F13+F23+F33+F43+F53+F63+F73+F83+F93+F103+F113+F123+F133+F143+F153+F163+F173+F183+F193+F203+F213+F223+F233+F243+F253+F263+F273+F283+F293+F303+F313+F323+F333</f>
        <v>1922691.5416563179</v>
      </c>
      <c r="G334" s="73">
        <f>G13+G23+G33+G43+G53+G63+G73+G83+G93+G103+G113+G123+G133+G143+G153+G163+G173+G183+G193+G203+G213+G223+G233+G243+G253+G263+G273+G283+G293+G303+G313+G323+G333</f>
        <v>3805076.8606931418</v>
      </c>
    </row>
    <row r="337" spans="2:2" x14ac:dyDescent="0.25">
      <c r="B337" s="14" t="s">
        <v>76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5CFD8-0AAC-4899-85DD-6AE0962D29EB}">
  <dimension ref="B2:L67"/>
  <sheetViews>
    <sheetView workbookViewId="0">
      <pane ySplit="3" topLeftCell="A4" activePane="bottomLeft" state="frozen"/>
      <selection pane="bottomLeft"/>
    </sheetView>
  </sheetViews>
  <sheetFormatPr defaultRowHeight="15" x14ac:dyDescent="0.25"/>
  <cols>
    <col min="3" max="3" width="27.42578125" customWidth="1"/>
    <col min="4" max="6" width="10.28515625" style="6" customWidth="1"/>
  </cols>
  <sheetData>
    <row r="2" spans="2:12" ht="15.75" thickBot="1" x14ac:dyDescent="0.3">
      <c r="B2" s="12" t="s">
        <v>77</v>
      </c>
      <c r="C2" s="3"/>
      <c r="D2" s="7"/>
      <c r="E2" s="7"/>
      <c r="F2" s="7"/>
    </row>
    <row r="3" spans="2:12" ht="15.75" thickBot="1" x14ac:dyDescent="0.3">
      <c r="B3" s="4" t="s">
        <v>78</v>
      </c>
      <c r="C3" s="4" t="s">
        <v>2</v>
      </c>
      <c r="D3" s="18" t="s">
        <v>18</v>
      </c>
      <c r="E3" s="18" t="s">
        <v>19</v>
      </c>
      <c r="F3" s="18" t="s">
        <v>20</v>
      </c>
    </row>
    <row r="4" spans="2:12" x14ac:dyDescent="0.25">
      <c r="B4" t="s">
        <v>79</v>
      </c>
      <c r="C4" t="s">
        <v>7</v>
      </c>
      <c r="D4" s="6">
        <v>1348.22</v>
      </c>
      <c r="E4" s="6">
        <v>3577.9900312429895</v>
      </c>
      <c r="F4" s="6">
        <v>4926.2100312429893</v>
      </c>
    </row>
    <row r="5" spans="2:12" x14ac:dyDescent="0.25">
      <c r="B5" t="s">
        <v>79</v>
      </c>
      <c r="C5" t="s">
        <v>6</v>
      </c>
      <c r="D5" s="6">
        <v>0</v>
      </c>
      <c r="E5" s="6">
        <v>371.57638110282045</v>
      </c>
      <c r="F5" s="6">
        <v>371.57638110282045</v>
      </c>
    </row>
    <row r="6" spans="2:12" x14ac:dyDescent="0.25">
      <c r="B6" t="s">
        <v>79</v>
      </c>
      <c r="C6" t="s">
        <v>21</v>
      </c>
      <c r="D6" s="6">
        <v>164871.15067766144</v>
      </c>
      <c r="E6" s="6">
        <v>125890.92748025355</v>
      </c>
      <c r="F6" s="6">
        <v>290762.07815791498</v>
      </c>
    </row>
    <row r="7" spans="2:12" x14ac:dyDescent="0.25">
      <c r="B7" t="s">
        <v>79</v>
      </c>
      <c r="C7" t="s">
        <v>22</v>
      </c>
      <c r="D7" s="6">
        <v>1043.2601052840557</v>
      </c>
      <c r="E7" s="6">
        <v>5568.3171322396056</v>
      </c>
      <c r="F7" s="6">
        <v>6611.5772375236602</v>
      </c>
    </row>
    <row r="8" spans="2:12" x14ac:dyDescent="0.25">
      <c r="B8" t="s">
        <v>79</v>
      </c>
      <c r="C8" t="s">
        <v>23</v>
      </c>
      <c r="D8" s="6">
        <v>462.46025177151517</v>
      </c>
      <c r="E8" s="6">
        <v>503.06676635404153</v>
      </c>
      <c r="F8" s="6">
        <v>965.52701812555665</v>
      </c>
    </row>
    <row r="9" spans="2:12" x14ac:dyDescent="0.25">
      <c r="B9" t="s">
        <v>79</v>
      </c>
      <c r="C9" t="s">
        <v>24</v>
      </c>
      <c r="D9" s="6">
        <v>0</v>
      </c>
      <c r="E9" s="6">
        <v>0</v>
      </c>
      <c r="F9" s="6">
        <v>0</v>
      </c>
    </row>
    <row r="10" spans="2:12" x14ac:dyDescent="0.25">
      <c r="B10" t="s">
        <v>79</v>
      </c>
      <c r="C10" t="s">
        <v>25</v>
      </c>
      <c r="D10" s="6">
        <v>0</v>
      </c>
      <c r="E10" s="6">
        <v>37.200000000000003</v>
      </c>
      <c r="F10" s="6">
        <v>37.200000000000003</v>
      </c>
    </row>
    <row r="11" spans="2:12" x14ac:dyDescent="0.25">
      <c r="B11" t="s">
        <v>79</v>
      </c>
      <c r="C11" t="s">
        <v>26</v>
      </c>
      <c r="D11" s="6">
        <v>0</v>
      </c>
      <c r="E11" s="6">
        <v>0</v>
      </c>
      <c r="F11" s="6">
        <v>0</v>
      </c>
    </row>
    <row r="12" spans="2:12" x14ac:dyDescent="0.25">
      <c r="B12" t="s">
        <v>79</v>
      </c>
      <c r="C12" t="s">
        <v>27</v>
      </c>
      <c r="D12" s="6">
        <v>70675.100753904335</v>
      </c>
      <c r="E12" s="6">
        <v>0</v>
      </c>
      <c r="F12" s="6">
        <v>70675.100753904335</v>
      </c>
    </row>
    <row r="13" spans="2:12" ht="15.75" thickBot="1" x14ac:dyDescent="0.3">
      <c r="B13" s="3"/>
      <c r="C13" s="2" t="s">
        <v>8</v>
      </c>
      <c r="D13" s="72">
        <f>SUM(D4:D12)</f>
        <v>238400.19178862136</v>
      </c>
      <c r="E13" s="72">
        <f t="shared" ref="E13:F13" si="0">SUM(E4:E12)</f>
        <v>135949.07779119303</v>
      </c>
      <c r="F13" s="72">
        <f t="shared" si="0"/>
        <v>374349.2695798144</v>
      </c>
      <c r="I13" s="74"/>
      <c r="J13" s="74"/>
      <c r="L13" s="74"/>
    </row>
    <row r="14" spans="2:12" x14ac:dyDescent="0.25">
      <c r="B14" t="s">
        <v>80</v>
      </c>
      <c r="C14" t="s">
        <v>7</v>
      </c>
      <c r="D14" s="6">
        <v>0</v>
      </c>
      <c r="E14" s="6">
        <v>3471.8156749190393</v>
      </c>
      <c r="F14" s="6">
        <v>3471.8156749190393</v>
      </c>
    </row>
    <row r="15" spans="2:12" x14ac:dyDescent="0.25">
      <c r="B15" t="s">
        <v>80</v>
      </c>
      <c r="C15" t="s">
        <v>6</v>
      </c>
      <c r="D15" s="6">
        <v>0</v>
      </c>
      <c r="E15" s="6">
        <v>2844.1371110067507</v>
      </c>
      <c r="F15" s="6">
        <v>2844.1371110067507</v>
      </c>
    </row>
    <row r="16" spans="2:12" x14ac:dyDescent="0.25">
      <c r="B16" t="s">
        <v>80</v>
      </c>
      <c r="C16" t="s">
        <v>21</v>
      </c>
      <c r="D16" s="6">
        <v>54603.277366501788</v>
      </c>
      <c r="E16" s="6">
        <v>55525.151652762434</v>
      </c>
      <c r="F16" s="6">
        <v>110128.42901926422</v>
      </c>
    </row>
    <row r="17" spans="2:12" x14ac:dyDescent="0.25">
      <c r="B17" t="s">
        <v>80</v>
      </c>
      <c r="C17" t="s">
        <v>22</v>
      </c>
      <c r="D17" s="6">
        <v>428.80078914970102</v>
      </c>
      <c r="E17" s="6">
        <v>540.24172284668657</v>
      </c>
      <c r="F17" s="6">
        <v>969.04251199638747</v>
      </c>
    </row>
    <row r="18" spans="2:12" x14ac:dyDescent="0.25">
      <c r="B18" t="s">
        <v>80</v>
      </c>
      <c r="C18" t="s">
        <v>23</v>
      </c>
      <c r="D18" s="6">
        <v>2348.71</v>
      </c>
      <c r="E18" s="6">
        <v>479.06957443739628</v>
      </c>
      <c r="F18" s="6">
        <v>2827.7795744373961</v>
      </c>
    </row>
    <row r="19" spans="2:12" x14ac:dyDescent="0.25">
      <c r="B19" t="s">
        <v>80</v>
      </c>
      <c r="C19" t="s">
        <v>24</v>
      </c>
      <c r="D19" s="6">
        <v>0</v>
      </c>
      <c r="E19" s="6">
        <v>10.919</v>
      </c>
      <c r="F19" s="6">
        <v>10.919</v>
      </c>
    </row>
    <row r="20" spans="2:12" x14ac:dyDescent="0.25">
      <c r="B20" t="s">
        <v>80</v>
      </c>
      <c r="C20" t="s">
        <v>25</v>
      </c>
      <c r="D20" s="6">
        <v>0</v>
      </c>
      <c r="E20" s="6">
        <v>10448.078000000001</v>
      </c>
      <c r="F20" s="6">
        <v>10448.078000000001</v>
      </c>
      <c r="L20" s="6"/>
    </row>
    <row r="21" spans="2:12" x14ac:dyDescent="0.25">
      <c r="B21" t="s">
        <v>80</v>
      </c>
      <c r="C21" t="s">
        <v>26</v>
      </c>
      <c r="D21" s="6">
        <v>0</v>
      </c>
      <c r="E21" s="6">
        <v>0</v>
      </c>
      <c r="F21" s="6">
        <v>0</v>
      </c>
    </row>
    <row r="22" spans="2:12" x14ac:dyDescent="0.25">
      <c r="B22" t="s">
        <v>80</v>
      </c>
      <c r="C22" t="s">
        <v>27</v>
      </c>
      <c r="D22" s="6">
        <v>0</v>
      </c>
      <c r="E22" s="6">
        <v>0</v>
      </c>
      <c r="F22" s="6">
        <v>0</v>
      </c>
    </row>
    <row r="23" spans="2:12" ht="15.75" thickBot="1" x14ac:dyDescent="0.3">
      <c r="B23" s="3"/>
      <c r="C23" s="2" t="s">
        <v>8</v>
      </c>
      <c r="D23" s="72">
        <f>SUM(D14:D22)</f>
        <v>57380.788155651491</v>
      </c>
      <c r="E23" s="72">
        <f t="shared" ref="E23" si="1">SUM(E14:E22)</f>
        <v>73319.412735972321</v>
      </c>
      <c r="F23" s="72">
        <f t="shared" ref="F23" si="2">SUM(F14:F22)</f>
        <v>130700.2008916238</v>
      </c>
      <c r="I23" s="74"/>
      <c r="J23" s="74"/>
      <c r="L23" s="74"/>
    </row>
    <row r="24" spans="2:12" x14ac:dyDescent="0.25">
      <c r="B24" t="s">
        <v>81</v>
      </c>
      <c r="C24" t="s">
        <v>7</v>
      </c>
      <c r="D24" s="6">
        <v>3141.8399128190495</v>
      </c>
      <c r="E24" s="6">
        <v>40838.350103639204</v>
      </c>
      <c r="F24" s="6">
        <v>43980.190016458255</v>
      </c>
    </row>
    <row r="25" spans="2:12" x14ac:dyDescent="0.25">
      <c r="B25" t="s">
        <v>81</v>
      </c>
      <c r="C25" t="s">
        <v>6</v>
      </c>
      <c r="D25" s="6">
        <v>0</v>
      </c>
      <c r="E25" s="6">
        <v>2431.9957387162158</v>
      </c>
      <c r="F25" s="6">
        <v>2431.9957387162158</v>
      </c>
    </row>
    <row r="26" spans="2:12" x14ac:dyDescent="0.25">
      <c r="B26" t="s">
        <v>81</v>
      </c>
      <c r="C26" t="s">
        <v>21</v>
      </c>
      <c r="D26" s="6">
        <v>196175.03903014009</v>
      </c>
      <c r="E26" s="6">
        <v>349406.14892663137</v>
      </c>
      <c r="F26" s="6">
        <v>545581.18795677146</v>
      </c>
    </row>
    <row r="27" spans="2:12" x14ac:dyDescent="0.25">
      <c r="B27" t="s">
        <v>81</v>
      </c>
      <c r="C27" t="s">
        <v>22</v>
      </c>
      <c r="D27" s="6">
        <v>697.73133102126747</v>
      </c>
      <c r="E27" s="6">
        <v>11019.366349312428</v>
      </c>
      <c r="F27" s="6">
        <v>11717.097680333696</v>
      </c>
    </row>
    <row r="28" spans="2:12" x14ac:dyDescent="0.25">
      <c r="B28" t="s">
        <v>81</v>
      </c>
      <c r="C28" t="s">
        <v>23</v>
      </c>
      <c r="D28" s="6">
        <v>8078.793076923077</v>
      </c>
      <c r="E28" s="6">
        <v>5339.6081006729573</v>
      </c>
      <c r="F28" s="6">
        <v>13418.401177596035</v>
      </c>
    </row>
    <row r="29" spans="2:12" x14ac:dyDescent="0.25">
      <c r="B29" t="s">
        <v>81</v>
      </c>
      <c r="C29" t="s">
        <v>24</v>
      </c>
      <c r="D29" s="6">
        <v>0</v>
      </c>
      <c r="E29" s="6">
        <v>2416.194</v>
      </c>
      <c r="F29" s="6">
        <v>2416.194</v>
      </c>
    </row>
    <row r="30" spans="2:12" x14ac:dyDescent="0.25">
      <c r="B30" t="s">
        <v>81</v>
      </c>
      <c r="C30" t="s">
        <v>25</v>
      </c>
      <c r="D30" s="6">
        <v>0</v>
      </c>
      <c r="E30" s="6">
        <v>38251.784280118816</v>
      </c>
      <c r="F30" s="6">
        <v>38251.784280118816</v>
      </c>
    </row>
    <row r="31" spans="2:12" x14ac:dyDescent="0.25">
      <c r="B31" t="s">
        <v>81</v>
      </c>
      <c r="C31" t="s">
        <v>26</v>
      </c>
      <c r="D31" s="6">
        <v>0</v>
      </c>
      <c r="E31" s="6">
        <v>0</v>
      </c>
      <c r="F31" s="6">
        <v>0</v>
      </c>
    </row>
    <row r="32" spans="2:12" x14ac:dyDescent="0.25">
      <c r="B32" t="s">
        <v>81</v>
      </c>
      <c r="C32" t="s">
        <v>27</v>
      </c>
      <c r="D32" s="6">
        <v>39628.677133180565</v>
      </c>
      <c r="E32" s="6">
        <v>0</v>
      </c>
      <c r="F32" s="6">
        <v>39628.677133180565</v>
      </c>
    </row>
    <row r="33" spans="2:12" ht="15.75" thickBot="1" x14ac:dyDescent="0.3">
      <c r="B33" s="3"/>
      <c r="C33" s="2" t="s">
        <v>8</v>
      </c>
      <c r="D33" s="72">
        <f>SUM(D24:D32)</f>
        <v>247722.08048408403</v>
      </c>
      <c r="E33" s="72">
        <f t="shared" ref="E33" si="3">SUM(E24:E32)</f>
        <v>449703.44749909098</v>
      </c>
      <c r="F33" s="72">
        <f t="shared" ref="F33" si="4">SUM(F24:F32)</f>
        <v>697425.52798317501</v>
      </c>
      <c r="I33" s="74"/>
      <c r="J33" s="74"/>
      <c r="L33" s="74"/>
    </row>
    <row r="34" spans="2:12" x14ac:dyDescent="0.25">
      <c r="B34" t="s">
        <v>82</v>
      </c>
      <c r="C34" t="s">
        <v>7</v>
      </c>
      <c r="D34" s="6">
        <v>44473.436645286645</v>
      </c>
      <c r="E34" s="6">
        <v>166055.13228885314</v>
      </c>
      <c r="F34" s="6">
        <v>210528.5689341398</v>
      </c>
    </row>
    <row r="35" spans="2:12" x14ac:dyDescent="0.25">
      <c r="B35" t="s">
        <v>82</v>
      </c>
      <c r="C35" t="s">
        <v>6</v>
      </c>
      <c r="D35" s="6">
        <v>0</v>
      </c>
      <c r="E35" s="6">
        <v>20932.954302805556</v>
      </c>
      <c r="F35" s="6">
        <v>20932.954302805556</v>
      </c>
    </row>
    <row r="36" spans="2:12" x14ac:dyDescent="0.25">
      <c r="B36" t="s">
        <v>82</v>
      </c>
      <c r="C36" t="s">
        <v>21</v>
      </c>
      <c r="D36" s="6">
        <v>720394.2349570964</v>
      </c>
      <c r="E36" s="6">
        <v>452355.44824936334</v>
      </c>
      <c r="F36" s="6">
        <v>1172749.6832064597</v>
      </c>
    </row>
    <row r="37" spans="2:12" x14ac:dyDescent="0.25">
      <c r="B37" t="s">
        <v>82</v>
      </c>
      <c r="C37" t="s">
        <v>22</v>
      </c>
      <c r="D37" s="6">
        <v>692.64626140562041</v>
      </c>
      <c r="E37" s="6">
        <v>6805.3803131687509</v>
      </c>
      <c r="F37" s="6">
        <v>7498.0265745743691</v>
      </c>
    </row>
    <row r="38" spans="2:12" x14ac:dyDescent="0.25">
      <c r="B38" t="s">
        <v>82</v>
      </c>
      <c r="C38" t="s">
        <v>23</v>
      </c>
      <c r="D38" s="6">
        <v>14296.703000000001</v>
      </c>
      <c r="E38" s="6">
        <v>21038.038519302714</v>
      </c>
      <c r="F38" s="6">
        <v>35334.741519302712</v>
      </c>
    </row>
    <row r="39" spans="2:12" x14ac:dyDescent="0.25">
      <c r="B39" t="s">
        <v>82</v>
      </c>
      <c r="C39" t="s">
        <v>24</v>
      </c>
      <c r="D39" s="6">
        <v>0</v>
      </c>
      <c r="E39" s="6">
        <v>6126.6180000000004</v>
      </c>
      <c r="F39" s="6">
        <v>6126.6180000000004</v>
      </c>
    </row>
    <row r="40" spans="2:12" x14ac:dyDescent="0.25">
      <c r="B40" t="s">
        <v>82</v>
      </c>
      <c r="C40" t="s">
        <v>25</v>
      </c>
      <c r="D40" s="6">
        <v>364.67084649118766</v>
      </c>
      <c r="E40" s="6">
        <v>7553.9146880997778</v>
      </c>
      <c r="F40" s="6">
        <v>7918.5855345909658</v>
      </c>
    </row>
    <row r="41" spans="2:12" x14ac:dyDescent="0.25">
      <c r="B41" t="s">
        <v>82</v>
      </c>
      <c r="C41" t="s">
        <v>26</v>
      </c>
      <c r="D41" s="6">
        <v>0</v>
      </c>
      <c r="E41" s="6">
        <v>4690.7739999999994</v>
      </c>
      <c r="F41" s="6">
        <v>4690.7739999999994</v>
      </c>
    </row>
    <row r="42" spans="2:12" x14ac:dyDescent="0.25">
      <c r="B42" t="s">
        <v>82</v>
      </c>
      <c r="C42" t="s">
        <v>27</v>
      </c>
      <c r="D42" s="6">
        <v>145044.65529266832</v>
      </c>
      <c r="E42" s="6">
        <v>0</v>
      </c>
      <c r="F42" s="6">
        <v>145044.65529266832</v>
      </c>
    </row>
    <row r="43" spans="2:12" ht="15.75" thickBot="1" x14ac:dyDescent="0.3">
      <c r="B43" s="3"/>
      <c r="C43" s="2" t="s">
        <v>8</v>
      </c>
      <c r="D43" s="72">
        <f>SUM(D34:D42)</f>
        <v>925266.34700294817</v>
      </c>
      <c r="E43" s="72">
        <f t="shared" ref="E43" si="5">SUM(E34:E42)</f>
        <v>685558.26036159322</v>
      </c>
      <c r="F43" s="72">
        <f t="shared" ref="F43" si="6">SUM(F34:F42)</f>
        <v>1610824.6073645416</v>
      </c>
      <c r="I43" s="74"/>
      <c r="J43" s="74"/>
      <c r="L43" s="74"/>
    </row>
    <row r="44" spans="2:12" x14ac:dyDescent="0.25">
      <c r="B44" t="s">
        <v>83</v>
      </c>
      <c r="C44" t="s">
        <v>7</v>
      </c>
      <c r="D44" s="6">
        <v>0</v>
      </c>
      <c r="E44" s="6">
        <v>15460.137816188992</v>
      </c>
      <c r="F44" s="6">
        <v>15460.137816188992</v>
      </c>
    </row>
    <row r="45" spans="2:12" x14ac:dyDescent="0.25">
      <c r="B45" t="s">
        <v>83</v>
      </c>
      <c r="C45" t="s">
        <v>6</v>
      </c>
      <c r="D45" s="6">
        <v>0</v>
      </c>
      <c r="E45" s="6">
        <v>1918.3653677606765</v>
      </c>
      <c r="F45" s="6">
        <v>1918.3653677606765</v>
      </c>
    </row>
    <row r="46" spans="2:12" x14ac:dyDescent="0.25">
      <c r="B46" t="s">
        <v>83</v>
      </c>
      <c r="C46" t="s">
        <v>21</v>
      </c>
      <c r="D46" s="6">
        <v>0</v>
      </c>
      <c r="E46" s="6">
        <v>516077.87110387668</v>
      </c>
      <c r="F46" s="6">
        <v>516077.87110387668</v>
      </c>
    </row>
    <row r="47" spans="2:12" x14ac:dyDescent="0.25">
      <c r="B47" t="s">
        <v>83</v>
      </c>
      <c r="C47" t="s">
        <v>22</v>
      </c>
      <c r="D47" s="6">
        <v>207.41359818088134</v>
      </c>
      <c r="E47" s="6">
        <v>11252.223675534728</v>
      </c>
      <c r="F47" s="6">
        <v>11459.637273715613</v>
      </c>
    </row>
    <row r="48" spans="2:12" x14ac:dyDescent="0.25">
      <c r="B48" t="s">
        <v>83</v>
      </c>
      <c r="C48" t="s">
        <v>23</v>
      </c>
      <c r="D48" s="6">
        <v>0.20714989366305459</v>
      </c>
      <c r="E48" s="6">
        <v>3162.1347764342072</v>
      </c>
      <c r="F48" s="6">
        <v>3162.3419263278702</v>
      </c>
    </row>
    <row r="49" spans="2:12" x14ac:dyDescent="0.25">
      <c r="B49" t="s">
        <v>83</v>
      </c>
      <c r="C49" t="s">
        <v>24</v>
      </c>
      <c r="D49" s="6">
        <v>0</v>
      </c>
      <c r="E49" s="6">
        <v>32.372</v>
      </c>
      <c r="F49" s="6">
        <v>32.372</v>
      </c>
    </row>
    <row r="50" spans="2:12" x14ac:dyDescent="0.25">
      <c r="B50" t="s">
        <v>83</v>
      </c>
      <c r="C50" t="s">
        <v>25</v>
      </c>
      <c r="D50" s="6">
        <v>0</v>
      </c>
      <c r="E50" s="6">
        <v>13.0838395462957</v>
      </c>
      <c r="F50" s="6">
        <v>13.0838395462957</v>
      </c>
    </row>
    <row r="51" spans="2:12" x14ac:dyDescent="0.25">
      <c r="B51" t="s">
        <v>83</v>
      </c>
      <c r="C51" t="s">
        <v>26</v>
      </c>
      <c r="D51" s="6">
        <v>0</v>
      </c>
      <c r="E51" s="6">
        <v>28255.079999999998</v>
      </c>
      <c r="F51" s="6">
        <v>28255.079999999998</v>
      </c>
    </row>
    <row r="52" spans="2:12" x14ac:dyDescent="0.25">
      <c r="B52" t="s">
        <v>83</v>
      </c>
      <c r="C52" t="s">
        <v>27</v>
      </c>
      <c r="D52" s="6">
        <v>0</v>
      </c>
      <c r="E52" s="6">
        <v>0</v>
      </c>
      <c r="F52" s="6">
        <v>0</v>
      </c>
    </row>
    <row r="53" spans="2:12" ht="15.75" thickBot="1" x14ac:dyDescent="0.3">
      <c r="B53" s="3"/>
      <c r="C53" s="2" t="s">
        <v>8</v>
      </c>
      <c r="D53" s="72">
        <f>SUM(D44:D52)</f>
        <v>207.62074807454439</v>
      </c>
      <c r="E53" s="72">
        <f t="shared" ref="E53" si="7">SUM(E44:E52)</f>
        <v>576171.26857934147</v>
      </c>
      <c r="F53" s="72">
        <f t="shared" ref="F53" si="8">SUM(F44:F52)</f>
        <v>576378.88932741608</v>
      </c>
      <c r="I53" s="74"/>
      <c r="J53" s="74"/>
      <c r="L53" s="74"/>
    </row>
    <row r="54" spans="2:12" x14ac:dyDescent="0.25">
      <c r="B54" t="s">
        <v>84</v>
      </c>
      <c r="C54" t="s">
        <v>7</v>
      </c>
      <c r="D54" s="6">
        <v>21369.302000000003</v>
      </c>
      <c r="E54" s="6">
        <v>66.928265771779124</v>
      </c>
      <c r="F54" s="6">
        <v>21436.230265771781</v>
      </c>
    </row>
    <row r="55" spans="2:12" x14ac:dyDescent="0.25">
      <c r="B55" t="s">
        <v>84</v>
      </c>
      <c r="C55" t="s">
        <v>6</v>
      </c>
      <c r="D55" s="6">
        <v>0</v>
      </c>
      <c r="E55" s="6">
        <v>1652.011181415389</v>
      </c>
      <c r="F55" s="6">
        <v>1652.011181415389</v>
      </c>
    </row>
    <row r="56" spans="2:12" x14ac:dyDescent="0.25">
      <c r="B56" t="s">
        <v>84</v>
      </c>
      <c r="C56" t="s">
        <v>21</v>
      </c>
      <c r="D56" s="6">
        <v>331397.94256230112</v>
      </c>
      <c r="E56" s="6">
        <v>0</v>
      </c>
      <c r="F56" s="6">
        <v>331397.94256230112</v>
      </c>
    </row>
    <row r="57" spans="2:12" x14ac:dyDescent="0.25">
      <c r="B57" t="s">
        <v>84</v>
      </c>
      <c r="C57" t="s">
        <v>22</v>
      </c>
      <c r="D57" s="6">
        <v>77.366040728543595</v>
      </c>
      <c r="E57" s="6">
        <v>185.91008445908111</v>
      </c>
      <c r="F57" s="6">
        <v>263.27612518762464</v>
      </c>
    </row>
    <row r="58" spans="2:12" x14ac:dyDescent="0.25">
      <c r="B58" t="s">
        <v>84</v>
      </c>
      <c r="C58" t="s">
        <v>23</v>
      </c>
      <c r="D58" s="6">
        <v>914.03677052489547</v>
      </c>
      <c r="E58" s="6">
        <v>3.9317049817247764</v>
      </c>
      <c r="F58" s="6">
        <v>917.96847550662028</v>
      </c>
    </row>
    <row r="59" spans="2:12" x14ac:dyDescent="0.25">
      <c r="B59" t="s">
        <v>84</v>
      </c>
      <c r="C59" t="s">
        <v>24</v>
      </c>
      <c r="D59" s="6">
        <v>0</v>
      </c>
      <c r="E59" s="6">
        <v>0</v>
      </c>
      <c r="F59" s="6">
        <v>0</v>
      </c>
    </row>
    <row r="60" spans="2:12" x14ac:dyDescent="0.25">
      <c r="B60" t="s">
        <v>84</v>
      </c>
      <c r="C60" t="s">
        <v>25</v>
      </c>
      <c r="D60" s="6">
        <v>2</v>
      </c>
      <c r="E60" s="6">
        <v>81.293452498227708</v>
      </c>
      <c r="F60" s="6">
        <v>83.293452498227708</v>
      </c>
    </row>
    <row r="61" spans="2:12" x14ac:dyDescent="0.25">
      <c r="B61" t="s">
        <v>84</v>
      </c>
      <c r="C61" t="s">
        <v>26</v>
      </c>
      <c r="D61" s="6">
        <v>32473.989999999998</v>
      </c>
      <c r="E61" s="6">
        <v>0</v>
      </c>
      <c r="F61" s="6">
        <v>32473.989999999998</v>
      </c>
    </row>
    <row r="62" spans="2:12" x14ac:dyDescent="0.25">
      <c r="B62" t="s">
        <v>84</v>
      </c>
      <c r="C62" t="s">
        <v>27</v>
      </c>
      <c r="D62" s="6">
        <v>27173.653483889786</v>
      </c>
      <c r="E62" s="6">
        <v>0</v>
      </c>
      <c r="F62" s="6">
        <v>27173.653483889786</v>
      </c>
    </row>
    <row r="63" spans="2:12" ht="15.75" thickBot="1" x14ac:dyDescent="0.3">
      <c r="B63" s="3"/>
      <c r="C63" s="2" t="s">
        <v>8</v>
      </c>
      <c r="D63" s="72">
        <f>SUM(D54:D62)</f>
        <v>413408.29085744434</v>
      </c>
      <c r="E63" s="72">
        <f t="shared" ref="E63" si="9">SUM(E54:E62)</f>
        <v>1990.0746891262017</v>
      </c>
      <c r="F63" s="72">
        <f t="shared" ref="F63" si="10">SUM(F54:F62)</f>
        <v>415398.36554657051</v>
      </c>
      <c r="I63" s="74"/>
      <c r="J63" s="74"/>
      <c r="L63" s="74"/>
    </row>
    <row r="64" spans="2:12" x14ac:dyDescent="0.25">
      <c r="C64" s="1" t="s">
        <v>15</v>
      </c>
      <c r="D64" s="73">
        <f>D13+D23+D33+D43+D53+D63</f>
        <v>1882385.3190368237</v>
      </c>
      <c r="E64" s="73">
        <f>E13+E23+E33+E43+E53+E63</f>
        <v>1922691.5416563172</v>
      </c>
      <c r="F64" s="73">
        <f>F13+F23+F33+F43+F53+F63</f>
        <v>3805076.8606931414</v>
      </c>
      <c r="I64" s="74"/>
      <c r="J64" s="74"/>
      <c r="K64" s="6"/>
      <c r="L64" s="74"/>
    </row>
    <row r="67" spans="2:2" x14ac:dyDescent="0.25">
      <c r="B67" s="14" t="s">
        <v>178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7130-B69B-426E-B7B4-822475665BFE}">
  <dimension ref="B2:U677"/>
  <sheetViews>
    <sheetView workbookViewId="0">
      <pane ySplit="3" topLeftCell="A4" activePane="bottomLeft" state="frozen"/>
      <selection pane="bottomLeft"/>
    </sheetView>
  </sheetViews>
  <sheetFormatPr defaultRowHeight="15" x14ac:dyDescent="0.25"/>
  <cols>
    <col min="2" max="2" width="6.85546875" style="11" customWidth="1"/>
    <col min="3" max="3" width="6.85546875" customWidth="1"/>
    <col min="4" max="4" width="48" bestFit="1" customWidth="1"/>
    <col min="5" max="5" width="10.28515625" style="6" customWidth="1"/>
    <col min="6" max="10" width="9.140625" style="11"/>
    <col min="11" max="12" width="10.28515625" customWidth="1"/>
  </cols>
  <sheetData>
    <row r="2" spans="2:12" ht="15.75" thickBot="1" x14ac:dyDescent="0.3">
      <c r="B2" s="12" t="s">
        <v>85</v>
      </c>
      <c r="C2" s="3"/>
      <c r="D2" s="3"/>
      <c r="E2" s="7"/>
      <c r="F2" s="13"/>
      <c r="G2" s="13"/>
      <c r="H2" s="13"/>
      <c r="I2" s="13"/>
      <c r="J2" s="13"/>
      <c r="K2" s="3"/>
      <c r="L2" s="3"/>
    </row>
    <row r="3" spans="2:12" ht="15.75" thickBot="1" x14ac:dyDescent="0.3">
      <c r="B3" s="10" t="s">
        <v>40</v>
      </c>
      <c r="C3" s="4" t="s">
        <v>78</v>
      </c>
      <c r="D3" s="4" t="s">
        <v>86</v>
      </c>
      <c r="E3" s="18" t="s">
        <v>87</v>
      </c>
      <c r="F3" s="5" t="s">
        <v>88</v>
      </c>
      <c r="G3" s="10" t="s">
        <v>89</v>
      </c>
      <c r="H3" s="10" t="s">
        <v>90</v>
      </c>
      <c r="I3" s="10" t="s">
        <v>35</v>
      </c>
      <c r="J3" s="10" t="s">
        <v>36</v>
      </c>
      <c r="K3" s="5" t="s">
        <v>18</v>
      </c>
      <c r="L3" s="5" t="s">
        <v>19</v>
      </c>
    </row>
    <row r="4" spans="2:12" x14ac:dyDescent="0.25">
      <c r="B4" s="11">
        <v>1</v>
      </c>
      <c r="C4" t="s">
        <v>82</v>
      </c>
      <c r="D4" t="s">
        <v>211</v>
      </c>
      <c r="E4" s="6">
        <v>637707.25974600005</v>
      </c>
      <c r="F4" s="52">
        <v>137.63259335457568</v>
      </c>
      <c r="G4" s="11">
        <v>4</v>
      </c>
      <c r="H4" s="53">
        <v>4</v>
      </c>
      <c r="I4" s="11" t="s">
        <v>797</v>
      </c>
      <c r="J4" s="11" t="s">
        <v>797</v>
      </c>
      <c r="K4" s="6">
        <v>33249.522299999997</v>
      </c>
      <c r="L4" s="6">
        <v>65064.997000000003</v>
      </c>
    </row>
    <row r="5" spans="2:12" x14ac:dyDescent="0.25">
      <c r="B5" s="11">
        <v>1</v>
      </c>
      <c r="C5" t="s">
        <v>82</v>
      </c>
      <c r="D5" t="s">
        <v>212</v>
      </c>
      <c r="E5" s="6">
        <v>160</v>
      </c>
      <c r="F5" s="52">
        <v>149.60648512499998</v>
      </c>
      <c r="H5" s="53"/>
      <c r="J5" s="11" t="s">
        <v>797</v>
      </c>
      <c r="K5" s="6"/>
      <c r="L5" s="6">
        <v>26.812999999999999</v>
      </c>
    </row>
    <row r="6" spans="2:12" x14ac:dyDescent="0.25">
      <c r="B6" s="11">
        <v>1</v>
      </c>
      <c r="C6" t="s">
        <v>82</v>
      </c>
      <c r="D6" t="s">
        <v>213</v>
      </c>
      <c r="E6" s="6">
        <v>429</v>
      </c>
      <c r="F6" s="52">
        <v>30.788084615384612</v>
      </c>
      <c r="H6" s="53"/>
      <c r="J6" s="11" t="s">
        <v>797</v>
      </c>
      <c r="K6" s="6"/>
      <c r="L6" s="6">
        <v>14.795</v>
      </c>
    </row>
    <row r="7" spans="2:12" x14ac:dyDescent="0.25">
      <c r="B7" s="11">
        <v>1</v>
      </c>
      <c r="C7" t="s">
        <v>82</v>
      </c>
      <c r="D7" t="s">
        <v>214</v>
      </c>
      <c r="E7" s="6">
        <v>60</v>
      </c>
      <c r="F7" s="52">
        <v>72.401213999999996</v>
      </c>
      <c r="H7" s="53"/>
      <c r="J7" s="11" t="s">
        <v>797</v>
      </c>
      <c r="K7" s="6"/>
      <c r="L7" s="6">
        <v>4.8659999999999997</v>
      </c>
    </row>
    <row r="8" spans="2:12" x14ac:dyDescent="0.25">
      <c r="B8" s="11">
        <v>1</v>
      </c>
      <c r="C8" t="s">
        <v>82</v>
      </c>
      <c r="D8" t="s">
        <v>215</v>
      </c>
      <c r="E8" s="6">
        <v>50</v>
      </c>
      <c r="F8" s="52">
        <v>133.00040519999999</v>
      </c>
      <c r="H8" s="53"/>
      <c r="J8" s="11" t="s">
        <v>797</v>
      </c>
      <c r="K8" s="6"/>
      <c r="L8" s="6">
        <v>7.4489999999999998</v>
      </c>
    </row>
    <row r="9" spans="2:12" x14ac:dyDescent="0.25">
      <c r="B9" s="11">
        <v>1</v>
      </c>
      <c r="C9" t="s">
        <v>82</v>
      </c>
      <c r="D9" t="s">
        <v>216</v>
      </c>
      <c r="E9" s="6">
        <v>58</v>
      </c>
      <c r="F9" s="52">
        <v>66.031975862068975</v>
      </c>
      <c r="H9" s="53"/>
      <c r="J9" s="11" t="s">
        <v>797</v>
      </c>
      <c r="K9" s="6"/>
      <c r="L9" s="6">
        <v>4.29</v>
      </c>
    </row>
    <row r="10" spans="2:12" x14ac:dyDescent="0.25">
      <c r="B10" s="11">
        <v>1</v>
      </c>
      <c r="C10" t="s">
        <v>82</v>
      </c>
      <c r="D10" t="s">
        <v>217</v>
      </c>
      <c r="E10" s="6">
        <v>170</v>
      </c>
      <c r="F10" s="52">
        <v>99.999723800141794</v>
      </c>
      <c r="H10" s="53">
        <v>1</v>
      </c>
      <c r="K10" s="6"/>
      <c r="L10" s="6">
        <v>19.04244578043339</v>
      </c>
    </row>
    <row r="11" spans="2:12" x14ac:dyDescent="0.25">
      <c r="B11" s="11">
        <v>1</v>
      </c>
      <c r="C11" t="s">
        <v>82</v>
      </c>
      <c r="D11" t="s">
        <v>218</v>
      </c>
      <c r="E11" s="6">
        <v>802</v>
      </c>
      <c r="F11" s="52">
        <v>99.99972380014178</v>
      </c>
      <c r="H11" s="53">
        <v>1</v>
      </c>
      <c r="K11" s="6"/>
      <c r="L11" s="6">
        <v>89.835538328868097</v>
      </c>
    </row>
    <row r="12" spans="2:12" x14ac:dyDescent="0.25">
      <c r="B12" s="11">
        <v>1</v>
      </c>
      <c r="C12" t="s">
        <v>82</v>
      </c>
      <c r="D12" t="s">
        <v>219</v>
      </c>
      <c r="E12" s="6">
        <v>252</v>
      </c>
      <c r="F12" s="52">
        <v>110.43760619047619</v>
      </c>
      <c r="H12" s="53"/>
      <c r="J12" s="11" t="s">
        <v>797</v>
      </c>
      <c r="K12" s="6"/>
      <c r="L12" s="6">
        <v>31.173999999999999</v>
      </c>
    </row>
    <row r="13" spans="2:12" x14ac:dyDescent="0.25">
      <c r="B13" s="11">
        <v>1</v>
      </c>
      <c r="C13" t="s">
        <v>82</v>
      </c>
      <c r="D13" t="s">
        <v>220</v>
      </c>
      <c r="E13" s="6">
        <v>5517.1905989500001</v>
      </c>
      <c r="F13" s="52">
        <v>172.30565073842487</v>
      </c>
      <c r="G13" s="11">
        <v>1</v>
      </c>
      <c r="H13" s="53"/>
      <c r="J13" s="11" t="s">
        <v>797</v>
      </c>
      <c r="K13" s="6"/>
      <c r="L13" s="6">
        <v>1064.8599999999999</v>
      </c>
    </row>
    <row r="14" spans="2:12" x14ac:dyDescent="0.25">
      <c r="B14" s="11">
        <v>1</v>
      </c>
      <c r="C14" t="s">
        <v>82</v>
      </c>
      <c r="D14" t="s">
        <v>221</v>
      </c>
      <c r="E14" s="6">
        <v>189</v>
      </c>
      <c r="F14" s="52">
        <v>46.95151111111111</v>
      </c>
      <c r="H14" s="53">
        <v>2</v>
      </c>
      <c r="K14" s="6"/>
      <c r="L14" s="6">
        <v>9.94</v>
      </c>
    </row>
    <row r="15" spans="2:12" x14ac:dyDescent="0.25">
      <c r="B15" s="11">
        <v>1</v>
      </c>
      <c r="C15" t="s">
        <v>82</v>
      </c>
      <c r="D15" t="s">
        <v>222</v>
      </c>
      <c r="E15" s="6">
        <v>69</v>
      </c>
      <c r="F15" s="52">
        <v>99.99972380014178</v>
      </c>
      <c r="H15" s="53">
        <v>1</v>
      </c>
      <c r="K15" s="6"/>
      <c r="L15" s="6">
        <v>7.7289926991170814</v>
      </c>
    </row>
    <row r="16" spans="2:12" x14ac:dyDescent="0.25">
      <c r="B16" s="11">
        <v>1</v>
      </c>
      <c r="C16" t="s">
        <v>82</v>
      </c>
      <c r="D16" t="s">
        <v>223</v>
      </c>
      <c r="E16" s="6">
        <v>200</v>
      </c>
      <c r="F16" s="52">
        <v>96.723915300000002</v>
      </c>
      <c r="H16" s="53"/>
      <c r="J16" s="11" t="s">
        <v>797</v>
      </c>
      <c r="K16" s="6"/>
      <c r="L16" s="6">
        <v>21.669</v>
      </c>
    </row>
    <row r="17" spans="2:12" x14ac:dyDescent="0.25">
      <c r="B17" s="11">
        <v>1</v>
      </c>
      <c r="C17" t="s">
        <v>82</v>
      </c>
      <c r="D17" t="s">
        <v>224</v>
      </c>
      <c r="E17" s="6">
        <v>130</v>
      </c>
      <c r="F17" s="52">
        <v>79.999779040113424</v>
      </c>
      <c r="H17" s="53">
        <v>1</v>
      </c>
      <c r="K17" s="6"/>
      <c r="L17" s="6">
        <v>11.649496242147485</v>
      </c>
    </row>
    <row r="18" spans="2:12" x14ac:dyDescent="0.25">
      <c r="B18" s="11">
        <v>1</v>
      </c>
      <c r="C18" t="s">
        <v>82</v>
      </c>
      <c r="D18" t="s">
        <v>225</v>
      </c>
      <c r="E18" s="6">
        <v>90.8</v>
      </c>
      <c r="F18" s="52">
        <v>99.999723800141794</v>
      </c>
      <c r="H18" s="53">
        <v>1</v>
      </c>
      <c r="K18" s="6"/>
      <c r="L18" s="6">
        <v>10.170906334490304</v>
      </c>
    </row>
    <row r="19" spans="2:12" x14ac:dyDescent="0.25">
      <c r="B19" s="11">
        <v>1</v>
      </c>
      <c r="C19" t="s">
        <v>82</v>
      </c>
      <c r="D19" t="s">
        <v>226</v>
      </c>
      <c r="E19" s="6">
        <v>185</v>
      </c>
      <c r="F19" s="52">
        <v>41.789883243243239</v>
      </c>
      <c r="H19" s="53"/>
      <c r="J19" s="11" t="s">
        <v>797</v>
      </c>
      <c r="K19" s="6"/>
      <c r="L19" s="6">
        <v>8.66</v>
      </c>
    </row>
    <row r="20" spans="2:12" x14ac:dyDescent="0.25">
      <c r="B20" s="11">
        <v>1</v>
      </c>
      <c r="C20" t="s">
        <v>82</v>
      </c>
      <c r="D20" t="s">
        <v>227</v>
      </c>
      <c r="E20" s="6">
        <v>2000</v>
      </c>
      <c r="F20" s="52">
        <v>159.57281130000001</v>
      </c>
      <c r="G20" s="11">
        <v>3</v>
      </c>
      <c r="H20" s="53"/>
      <c r="J20" s="11" t="s">
        <v>797</v>
      </c>
      <c r="K20" s="6"/>
      <c r="L20" s="6">
        <v>357.49</v>
      </c>
    </row>
    <row r="21" spans="2:12" x14ac:dyDescent="0.25">
      <c r="B21" s="11">
        <v>1</v>
      </c>
      <c r="C21" t="s">
        <v>82</v>
      </c>
      <c r="D21" t="s">
        <v>228</v>
      </c>
      <c r="E21" s="6">
        <v>90</v>
      </c>
      <c r="F21" s="52">
        <v>99.99972380014178</v>
      </c>
      <c r="H21" s="53">
        <v>1</v>
      </c>
      <c r="K21" s="6"/>
      <c r="L21" s="6">
        <v>10.081294824935323</v>
      </c>
    </row>
    <row r="22" spans="2:12" x14ac:dyDescent="0.25">
      <c r="B22" s="11">
        <v>1</v>
      </c>
      <c r="C22" t="s">
        <v>82</v>
      </c>
      <c r="D22" t="s">
        <v>229</v>
      </c>
      <c r="E22" s="6">
        <v>172</v>
      </c>
      <c r="F22" s="52">
        <v>28.6247738372093</v>
      </c>
      <c r="H22" s="53"/>
      <c r="J22" s="11" t="s">
        <v>797</v>
      </c>
      <c r="K22" s="6"/>
      <c r="L22" s="6">
        <v>5.5149999999999997</v>
      </c>
    </row>
    <row r="23" spans="2:12" x14ac:dyDescent="0.25">
      <c r="B23" s="11">
        <v>1</v>
      </c>
      <c r="C23" t="s">
        <v>82</v>
      </c>
      <c r="D23" t="s">
        <v>230</v>
      </c>
      <c r="E23" s="6">
        <v>75</v>
      </c>
      <c r="F23" s="52">
        <v>71.71678</v>
      </c>
      <c r="H23" s="53">
        <v>5</v>
      </c>
      <c r="K23" s="6"/>
      <c r="L23" s="6">
        <v>6.0250000000000004</v>
      </c>
    </row>
    <row r="24" spans="2:12" x14ac:dyDescent="0.25">
      <c r="B24" s="11">
        <v>1</v>
      </c>
      <c r="C24" t="s">
        <v>82</v>
      </c>
      <c r="D24" t="s">
        <v>231</v>
      </c>
      <c r="E24" s="6">
        <v>151</v>
      </c>
      <c r="F24" s="52">
        <v>55.988396026490072</v>
      </c>
      <c r="H24" s="53"/>
      <c r="J24" s="11" t="s">
        <v>797</v>
      </c>
      <c r="K24" s="6"/>
      <c r="L24" s="6">
        <v>9.4700000000000006</v>
      </c>
    </row>
    <row r="25" spans="2:12" x14ac:dyDescent="0.25">
      <c r="B25" s="11">
        <v>1</v>
      </c>
      <c r="C25" t="s">
        <v>82</v>
      </c>
      <c r="D25" t="s">
        <v>232</v>
      </c>
      <c r="E25" s="6">
        <v>30.806202974000001</v>
      </c>
      <c r="F25" s="52">
        <v>133.27547258794476</v>
      </c>
      <c r="H25" s="53"/>
      <c r="J25" s="11" t="s">
        <v>797</v>
      </c>
      <c r="K25" s="6"/>
      <c r="L25" s="6">
        <v>4.5990000000000002</v>
      </c>
    </row>
    <row r="26" spans="2:12" x14ac:dyDescent="0.25">
      <c r="B26" s="11">
        <v>1</v>
      </c>
      <c r="C26" t="s">
        <v>82</v>
      </c>
      <c r="D26" t="s">
        <v>233</v>
      </c>
      <c r="E26" s="6">
        <v>200</v>
      </c>
      <c r="F26" s="52">
        <v>99.999723800141794</v>
      </c>
      <c r="H26" s="53">
        <v>1</v>
      </c>
      <c r="K26" s="6"/>
      <c r="L26" s="6">
        <v>22.402877388745164</v>
      </c>
    </row>
    <row r="27" spans="2:12" x14ac:dyDescent="0.25">
      <c r="B27" s="11">
        <v>1</v>
      </c>
      <c r="C27" t="s">
        <v>82</v>
      </c>
      <c r="D27" t="s">
        <v>234</v>
      </c>
      <c r="E27" s="6">
        <v>178</v>
      </c>
      <c r="F27" s="52">
        <v>99.999723800141794</v>
      </c>
      <c r="H27" s="53">
        <v>1</v>
      </c>
      <c r="K27" s="6"/>
      <c r="L27" s="6">
        <v>19.938560875983196</v>
      </c>
    </row>
    <row r="28" spans="2:12" x14ac:dyDescent="0.25">
      <c r="B28" s="11">
        <v>1</v>
      </c>
      <c r="C28" t="s">
        <v>82</v>
      </c>
      <c r="D28" t="s">
        <v>235</v>
      </c>
      <c r="E28" s="6">
        <v>28</v>
      </c>
      <c r="F28" s="52">
        <v>99.99972380014178</v>
      </c>
      <c r="H28" s="53">
        <v>1</v>
      </c>
      <c r="K28" s="6"/>
      <c r="L28" s="6">
        <v>3.1364028344243229</v>
      </c>
    </row>
    <row r="29" spans="2:12" x14ac:dyDescent="0.25">
      <c r="B29" s="11">
        <v>1</v>
      </c>
      <c r="C29" t="s">
        <v>82</v>
      </c>
      <c r="D29" t="s">
        <v>236</v>
      </c>
      <c r="E29" s="6">
        <v>1098</v>
      </c>
      <c r="F29" s="52">
        <v>99.99972380014178</v>
      </c>
      <c r="H29" s="53">
        <v>1</v>
      </c>
      <c r="K29" s="6"/>
      <c r="L29" s="6">
        <v>122.99179686421094</v>
      </c>
    </row>
    <row r="30" spans="2:12" x14ac:dyDescent="0.25">
      <c r="B30" s="11">
        <v>1</v>
      </c>
      <c r="C30" t="s">
        <v>82</v>
      </c>
      <c r="D30" t="s">
        <v>237</v>
      </c>
      <c r="E30" s="6">
        <v>5727</v>
      </c>
      <c r="F30" s="52">
        <v>164.24903938187535</v>
      </c>
      <c r="H30" s="53"/>
      <c r="J30" s="11" t="s">
        <v>797</v>
      </c>
      <c r="K30" s="6"/>
      <c r="L30" s="6">
        <v>1053.671</v>
      </c>
    </row>
    <row r="31" spans="2:12" x14ac:dyDescent="0.25">
      <c r="B31" s="11">
        <v>1</v>
      </c>
      <c r="C31" t="s">
        <v>82</v>
      </c>
      <c r="D31" t="s">
        <v>238</v>
      </c>
      <c r="E31" s="6">
        <v>342</v>
      </c>
      <c r="F31" s="52">
        <v>104.84474298245614</v>
      </c>
      <c r="H31" s="53"/>
      <c r="J31" s="11" t="s">
        <v>797</v>
      </c>
      <c r="K31" s="6"/>
      <c r="L31" s="6">
        <v>40.164999999999999</v>
      </c>
    </row>
    <row r="32" spans="2:12" x14ac:dyDescent="0.25">
      <c r="B32" s="11">
        <v>1</v>
      </c>
      <c r="C32" t="s">
        <v>82</v>
      </c>
      <c r="D32" t="s">
        <v>239</v>
      </c>
      <c r="E32" s="6">
        <v>128</v>
      </c>
      <c r="F32" s="52">
        <v>75.171497812500007</v>
      </c>
      <c r="H32" s="53"/>
      <c r="J32" s="11" t="s">
        <v>797</v>
      </c>
      <c r="K32" s="6"/>
      <c r="L32" s="6">
        <v>10.778</v>
      </c>
    </row>
    <row r="33" spans="2:21" x14ac:dyDescent="0.25">
      <c r="B33" s="11">
        <v>1</v>
      </c>
      <c r="C33" t="s">
        <v>82</v>
      </c>
      <c r="D33" t="s">
        <v>240</v>
      </c>
      <c r="E33" s="6">
        <v>506</v>
      </c>
      <c r="F33" s="52">
        <v>99.99972380014178</v>
      </c>
      <c r="H33" s="53">
        <v>1</v>
      </c>
      <c r="K33" s="6"/>
      <c r="L33" s="6">
        <v>56.679279793525261</v>
      </c>
    </row>
    <row r="34" spans="2:21" x14ac:dyDescent="0.25">
      <c r="B34" s="11">
        <v>1</v>
      </c>
      <c r="C34" t="s">
        <v>82</v>
      </c>
      <c r="D34" t="s">
        <v>241</v>
      </c>
      <c r="E34" s="6">
        <v>76</v>
      </c>
      <c r="F34" s="52">
        <v>199.99944760028356</v>
      </c>
      <c r="H34" s="53">
        <v>3</v>
      </c>
      <c r="K34" s="6"/>
      <c r="L34" s="6">
        <v>17.026186815446323</v>
      </c>
    </row>
    <row r="35" spans="2:21" x14ac:dyDescent="0.25">
      <c r="B35" s="11">
        <v>1</v>
      </c>
      <c r="C35" t="s">
        <v>82</v>
      </c>
      <c r="D35" t="s">
        <v>242</v>
      </c>
      <c r="E35" s="6">
        <v>392</v>
      </c>
      <c r="F35" s="52">
        <v>114.16595969387754</v>
      </c>
      <c r="H35" s="53"/>
      <c r="J35" s="11" t="s">
        <v>797</v>
      </c>
      <c r="K35" s="6"/>
      <c r="L35" s="6">
        <v>50.13</v>
      </c>
    </row>
    <row r="36" spans="2:21" x14ac:dyDescent="0.25">
      <c r="B36" s="11">
        <v>1</v>
      </c>
      <c r="C36" t="s">
        <v>82</v>
      </c>
      <c r="D36" t="s">
        <v>243</v>
      </c>
      <c r="E36" s="6">
        <v>78</v>
      </c>
      <c r="F36" s="52">
        <v>58.234116923076925</v>
      </c>
      <c r="H36" s="53"/>
      <c r="J36" s="11" t="s">
        <v>797</v>
      </c>
      <c r="K36" s="6"/>
      <c r="L36" s="6">
        <v>5.0880000000000001</v>
      </c>
    </row>
    <row r="37" spans="2:21" x14ac:dyDescent="0.25">
      <c r="B37" s="11">
        <v>1</v>
      </c>
      <c r="C37" t="s">
        <v>82</v>
      </c>
      <c r="D37" t="s">
        <v>244</v>
      </c>
      <c r="E37" s="6">
        <v>1730</v>
      </c>
      <c r="F37" s="52">
        <v>126.37689364161849</v>
      </c>
      <c r="H37" s="53">
        <v>2</v>
      </c>
      <c r="K37" s="6"/>
      <c r="L37" s="6">
        <v>244.9</v>
      </c>
    </row>
    <row r="38" spans="2:21" x14ac:dyDescent="0.25">
      <c r="B38" s="11">
        <v>1</v>
      </c>
      <c r="C38" t="s">
        <v>82</v>
      </c>
      <c r="D38" t="s">
        <v>245</v>
      </c>
      <c r="E38" s="6">
        <v>541</v>
      </c>
      <c r="F38" s="52">
        <v>55.41258632162662</v>
      </c>
      <c r="H38" s="53"/>
      <c r="J38" s="11" t="s">
        <v>797</v>
      </c>
      <c r="K38" s="6"/>
      <c r="L38" s="6">
        <v>33.58</v>
      </c>
    </row>
    <row r="39" spans="2:21" x14ac:dyDescent="0.25">
      <c r="B39" s="11">
        <v>1</v>
      </c>
      <c r="C39" t="s">
        <v>82</v>
      </c>
      <c r="D39" t="s">
        <v>246</v>
      </c>
      <c r="E39" s="6">
        <v>155.847002014</v>
      </c>
      <c r="F39" s="52">
        <v>116.92054325410196</v>
      </c>
      <c r="H39" s="53"/>
      <c r="J39" s="11" t="s">
        <v>797</v>
      </c>
      <c r="K39" s="6"/>
      <c r="L39" s="6">
        <v>20.411000000000001</v>
      </c>
    </row>
    <row r="40" spans="2:21" x14ac:dyDescent="0.25">
      <c r="B40" s="11">
        <v>1</v>
      </c>
      <c r="C40" t="s">
        <v>82</v>
      </c>
      <c r="D40" t="s">
        <v>794</v>
      </c>
      <c r="E40" s="6">
        <v>39</v>
      </c>
      <c r="F40" s="52">
        <v>80.804415384615382</v>
      </c>
      <c r="H40" s="53"/>
      <c r="J40" s="11" t="s">
        <v>797</v>
      </c>
      <c r="K40" s="6"/>
      <c r="L40" s="6">
        <v>3.53</v>
      </c>
    </row>
    <row r="41" spans="2:21" x14ac:dyDescent="0.25">
      <c r="B41" s="11">
        <v>1</v>
      </c>
      <c r="C41" t="s">
        <v>82</v>
      </c>
      <c r="D41" t="s">
        <v>247</v>
      </c>
      <c r="E41" s="6">
        <v>670</v>
      </c>
      <c r="F41" s="52">
        <v>35.329852388059699</v>
      </c>
      <c r="H41" s="53"/>
      <c r="J41" s="11" t="s">
        <v>797</v>
      </c>
      <c r="K41" s="6"/>
      <c r="L41" s="6">
        <v>26.515000000000001</v>
      </c>
    </row>
    <row r="42" spans="2:21" x14ac:dyDescent="0.25">
      <c r="B42" s="11">
        <v>1</v>
      </c>
      <c r="C42" t="s">
        <v>82</v>
      </c>
      <c r="D42" t="s">
        <v>248</v>
      </c>
      <c r="E42" s="6">
        <v>124</v>
      </c>
      <c r="F42" s="52">
        <v>79.999779040113424</v>
      </c>
      <c r="H42" s="53">
        <v>1</v>
      </c>
      <c r="K42" s="6"/>
      <c r="L42" s="6">
        <v>11.111827184817601</v>
      </c>
    </row>
    <row r="43" spans="2:21" x14ac:dyDescent="0.25">
      <c r="B43" s="11">
        <v>1</v>
      </c>
      <c r="C43" t="s">
        <v>82</v>
      </c>
      <c r="D43" t="s">
        <v>249</v>
      </c>
      <c r="E43" s="6">
        <v>109.06800180499999</v>
      </c>
      <c r="F43" s="52">
        <v>227.58861709394643</v>
      </c>
      <c r="H43" s="53"/>
      <c r="J43" s="11" t="s">
        <v>797</v>
      </c>
      <c r="K43" s="6"/>
      <c r="L43" s="6">
        <v>27.805</v>
      </c>
    </row>
    <row r="44" spans="2:21" x14ac:dyDescent="0.25">
      <c r="B44" s="11">
        <v>1</v>
      </c>
      <c r="C44" t="s">
        <v>82</v>
      </c>
      <c r="D44" t="s">
        <v>250</v>
      </c>
      <c r="E44" s="6">
        <v>68.917116312600001</v>
      </c>
      <c r="F44" s="52">
        <v>99.999723800141766</v>
      </c>
      <c r="H44" s="53">
        <v>1</v>
      </c>
      <c r="K44" s="6"/>
      <c r="L44" s="6">
        <v>7.7197085336853339</v>
      </c>
    </row>
    <row r="45" spans="2:21" x14ac:dyDescent="0.25">
      <c r="B45" s="11">
        <v>1</v>
      </c>
      <c r="C45" t="s">
        <v>82</v>
      </c>
      <c r="D45" t="s">
        <v>251</v>
      </c>
      <c r="E45" s="6">
        <v>63</v>
      </c>
      <c r="F45" s="52">
        <v>99.99972380014178</v>
      </c>
      <c r="H45" s="53">
        <v>1</v>
      </c>
      <c r="K45" s="6"/>
      <c r="L45" s="6">
        <v>7.0569063774547258</v>
      </c>
    </row>
    <row r="46" spans="2:21" x14ac:dyDescent="0.25">
      <c r="B46" s="11">
        <v>1</v>
      </c>
      <c r="C46" t="s">
        <v>82</v>
      </c>
      <c r="D46" t="s">
        <v>252</v>
      </c>
      <c r="E46" s="6">
        <v>87</v>
      </c>
      <c r="F46" s="52">
        <v>99.99972380014178</v>
      </c>
      <c r="H46" s="53">
        <v>1</v>
      </c>
      <c r="K46" s="6"/>
      <c r="L46" s="6">
        <v>9.7452516641041456</v>
      </c>
    </row>
    <row r="47" spans="2:21" x14ac:dyDescent="0.25">
      <c r="B47" s="11">
        <v>1</v>
      </c>
      <c r="C47" t="s">
        <v>82</v>
      </c>
      <c r="D47" t="s">
        <v>16</v>
      </c>
      <c r="E47" s="6">
        <v>15515.111331944237</v>
      </c>
      <c r="F47" s="52">
        <v>99.999110028141516</v>
      </c>
      <c r="H47" s="54"/>
      <c r="K47" s="6"/>
      <c r="L47" s="6">
        <v>1737.9002172508733</v>
      </c>
    </row>
    <row r="48" spans="2:21" ht="15.75" thickBot="1" x14ac:dyDescent="0.3">
      <c r="B48" s="36"/>
      <c r="C48" s="35"/>
      <c r="D48" s="59" t="s">
        <v>42</v>
      </c>
      <c r="E48" s="55">
        <v>676444</v>
      </c>
      <c r="F48" s="56"/>
      <c r="G48" s="57"/>
      <c r="H48" s="58"/>
      <c r="I48" s="57"/>
      <c r="J48" s="57"/>
      <c r="K48" s="55">
        <v>33249.522299999997</v>
      </c>
      <c r="L48" s="55">
        <v>70323.402689793249</v>
      </c>
      <c r="N48" s="6"/>
      <c r="T48" s="6"/>
      <c r="U48" s="6"/>
    </row>
    <row r="49" spans="2:21" ht="15.75" thickTop="1" x14ac:dyDescent="0.25">
      <c r="B49" s="11">
        <v>3</v>
      </c>
      <c r="C49" t="s">
        <v>80</v>
      </c>
      <c r="D49" t="s">
        <v>253</v>
      </c>
      <c r="E49" s="6">
        <v>58.902993615299998</v>
      </c>
      <c r="F49" s="52">
        <v>24.598359626048701</v>
      </c>
      <c r="H49" s="53"/>
      <c r="J49" s="11" t="s">
        <v>797</v>
      </c>
      <c r="K49" s="6"/>
      <c r="L49" s="6">
        <v>1.623</v>
      </c>
    </row>
    <row r="50" spans="2:21" x14ac:dyDescent="0.25">
      <c r="B50" s="11">
        <v>3</v>
      </c>
      <c r="C50" t="s">
        <v>80</v>
      </c>
      <c r="D50" t="s">
        <v>254</v>
      </c>
      <c r="E50" s="6">
        <v>71.624051529100001</v>
      </c>
      <c r="F50" s="52">
        <v>69.999806660099253</v>
      </c>
      <c r="H50" s="53">
        <v>1</v>
      </c>
      <c r="K50" s="6"/>
      <c r="L50" s="6">
        <v>5.6160469557205746</v>
      </c>
    </row>
    <row r="51" spans="2:21" x14ac:dyDescent="0.25">
      <c r="B51" s="11">
        <v>3</v>
      </c>
      <c r="C51" t="s">
        <v>80</v>
      </c>
      <c r="D51" t="s">
        <v>255</v>
      </c>
      <c r="E51" s="6">
        <v>28</v>
      </c>
      <c r="F51" s="52">
        <v>138.31093285714286</v>
      </c>
      <c r="H51" s="53"/>
      <c r="J51" s="11" t="s">
        <v>797</v>
      </c>
      <c r="K51" s="6"/>
      <c r="L51" s="6">
        <v>4.3380000000000001</v>
      </c>
    </row>
    <row r="52" spans="2:21" x14ac:dyDescent="0.25">
      <c r="B52" s="11">
        <v>3</v>
      </c>
      <c r="C52" t="s">
        <v>80</v>
      </c>
      <c r="D52" t="s">
        <v>256</v>
      </c>
      <c r="E52" s="6">
        <v>163.666777228</v>
      </c>
      <c r="F52" s="52">
        <v>69.999806660099253</v>
      </c>
      <c r="H52" s="53">
        <v>1</v>
      </c>
      <c r="K52" s="6"/>
      <c r="L52" s="6">
        <v>12.833123599974835</v>
      </c>
    </row>
    <row r="53" spans="2:21" x14ac:dyDescent="0.25">
      <c r="B53" s="11">
        <v>3</v>
      </c>
      <c r="C53" t="s">
        <v>80</v>
      </c>
      <c r="D53" t="s">
        <v>257</v>
      </c>
      <c r="E53" s="6">
        <v>65</v>
      </c>
      <c r="F53" s="52">
        <v>100.26156923076923</v>
      </c>
      <c r="H53" s="53">
        <v>2</v>
      </c>
      <c r="J53" s="11" t="s">
        <v>797</v>
      </c>
      <c r="K53" s="6"/>
      <c r="L53" s="6">
        <v>7.3</v>
      </c>
    </row>
    <row r="54" spans="2:21" x14ac:dyDescent="0.25">
      <c r="B54" s="11">
        <v>3</v>
      </c>
      <c r="C54" t="s">
        <v>80</v>
      </c>
      <c r="D54" t="s">
        <v>258</v>
      </c>
      <c r="E54" s="6">
        <v>232</v>
      </c>
      <c r="F54" s="52">
        <v>69.999806660099253</v>
      </c>
      <c r="H54" s="53">
        <v>1</v>
      </c>
      <c r="K54" s="6"/>
      <c r="L54" s="6">
        <v>18.191136439661072</v>
      </c>
    </row>
    <row r="55" spans="2:21" x14ac:dyDescent="0.25">
      <c r="B55" s="11">
        <v>3</v>
      </c>
      <c r="C55" t="s">
        <v>80</v>
      </c>
      <c r="D55" t="s">
        <v>259</v>
      </c>
      <c r="E55" s="6">
        <v>215</v>
      </c>
      <c r="F55" s="52">
        <v>27.031336744186046</v>
      </c>
      <c r="H55" s="53">
        <v>5</v>
      </c>
      <c r="J55" s="11" t="s">
        <v>797</v>
      </c>
      <c r="K55" s="6"/>
      <c r="L55" s="6">
        <v>6.51</v>
      </c>
    </row>
    <row r="56" spans="2:21" x14ac:dyDescent="0.25">
      <c r="B56" s="11">
        <v>3</v>
      </c>
      <c r="C56" t="s">
        <v>80</v>
      </c>
      <c r="D56" t="s">
        <v>260</v>
      </c>
      <c r="E56" s="6">
        <v>345</v>
      </c>
      <c r="F56" s="52">
        <v>198.24262069565219</v>
      </c>
      <c r="H56" s="53"/>
      <c r="J56" s="11" t="s">
        <v>797</v>
      </c>
      <c r="K56" s="6"/>
      <c r="L56" s="6">
        <v>76.611000000000004</v>
      </c>
    </row>
    <row r="57" spans="2:21" x14ac:dyDescent="0.25">
      <c r="B57" s="11">
        <v>3</v>
      </c>
      <c r="C57" t="s">
        <v>80</v>
      </c>
      <c r="D57" t="s">
        <v>261</v>
      </c>
      <c r="E57" s="6">
        <v>55</v>
      </c>
      <c r="F57" s="52">
        <v>64.926545454545447</v>
      </c>
      <c r="H57" s="53">
        <v>5</v>
      </c>
      <c r="J57" s="11" t="s">
        <v>797</v>
      </c>
      <c r="K57" s="6"/>
      <c r="L57" s="6">
        <v>4</v>
      </c>
    </row>
    <row r="58" spans="2:21" x14ac:dyDescent="0.25">
      <c r="B58" s="11">
        <v>3</v>
      </c>
      <c r="C58" t="s">
        <v>80</v>
      </c>
      <c r="D58" t="s">
        <v>16</v>
      </c>
      <c r="E58" s="6">
        <v>1816.5844598699364</v>
      </c>
      <c r="F58" s="52">
        <v>69.999377019699068</v>
      </c>
      <c r="H58" s="54"/>
      <c r="K58" s="6"/>
      <c r="L58" s="6">
        <v>142.43724855997115</v>
      </c>
    </row>
    <row r="59" spans="2:21" x14ac:dyDescent="0.25">
      <c r="B59" s="11">
        <v>3</v>
      </c>
      <c r="C59" t="s">
        <v>82</v>
      </c>
      <c r="D59" t="s">
        <v>262</v>
      </c>
      <c r="E59" s="6">
        <v>116</v>
      </c>
      <c r="F59" s="52">
        <v>33.670150862068965</v>
      </c>
      <c r="H59" s="53"/>
      <c r="J59" s="11" t="s">
        <v>797</v>
      </c>
      <c r="K59" s="6"/>
      <c r="L59" s="6">
        <v>4.375</v>
      </c>
    </row>
    <row r="60" spans="2:21" x14ac:dyDescent="0.25">
      <c r="B60" s="11">
        <v>3</v>
      </c>
      <c r="C60" t="s">
        <v>82</v>
      </c>
      <c r="D60" t="s">
        <v>263</v>
      </c>
      <c r="E60" s="6">
        <v>40</v>
      </c>
      <c r="F60" s="52">
        <v>69.999806660099253</v>
      </c>
      <c r="H60" s="53">
        <v>1</v>
      </c>
      <c r="K60" s="6"/>
      <c r="L60" s="6">
        <v>3.1364028344243229</v>
      </c>
    </row>
    <row r="61" spans="2:21" x14ac:dyDescent="0.25">
      <c r="B61" s="11">
        <v>3</v>
      </c>
      <c r="C61" t="s">
        <v>82</v>
      </c>
      <c r="D61" t="s">
        <v>16</v>
      </c>
      <c r="E61" s="6">
        <v>372.22171775766344</v>
      </c>
      <c r="F61" s="52">
        <v>69.999377019699068</v>
      </c>
      <c r="H61" s="54"/>
      <c r="K61" s="6"/>
      <c r="L61" s="6">
        <v>29.185671518660754</v>
      </c>
    </row>
    <row r="62" spans="2:21" ht="15.75" thickBot="1" x14ac:dyDescent="0.3">
      <c r="B62" s="36"/>
      <c r="C62" s="35"/>
      <c r="D62" s="59" t="s">
        <v>42</v>
      </c>
      <c r="E62" s="55">
        <v>3579</v>
      </c>
      <c r="F62" s="56"/>
      <c r="G62" s="57"/>
      <c r="H62" s="58"/>
      <c r="I62" s="57"/>
      <c r="J62" s="57"/>
      <c r="K62" s="55">
        <v>0</v>
      </c>
      <c r="L62" s="55">
        <v>316.15662990841264</v>
      </c>
      <c r="N62" s="6"/>
      <c r="T62" s="6"/>
      <c r="U62" s="6"/>
    </row>
    <row r="63" spans="2:21" ht="15.75" thickTop="1" x14ac:dyDescent="0.25">
      <c r="B63" s="11">
        <v>5</v>
      </c>
      <c r="C63" t="s">
        <v>81</v>
      </c>
      <c r="D63" t="s">
        <v>264</v>
      </c>
      <c r="E63" s="6">
        <v>4802</v>
      </c>
      <c r="F63" s="52">
        <v>327.01203773427738</v>
      </c>
      <c r="H63" s="53"/>
      <c r="J63" s="11" t="s">
        <v>797</v>
      </c>
      <c r="K63" s="6"/>
      <c r="L63" s="6">
        <v>1758.98</v>
      </c>
    </row>
    <row r="64" spans="2:21" x14ac:dyDescent="0.25">
      <c r="B64" s="11">
        <v>5</v>
      </c>
      <c r="C64" t="s">
        <v>81</v>
      </c>
      <c r="D64" t="s">
        <v>265</v>
      </c>
      <c r="E64" s="6">
        <v>606</v>
      </c>
      <c r="F64" s="52">
        <v>174.99951665024813</v>
      </c>
      <c r="H64" s="53">
        <v>3</v>
      </c>
      <c r="K64" s="6"/>
      <c r="L64" s="6">
        <v>118.79125735382122</v>
      </c>
    </row>
    <row r="65" spans="2:21" x14ac:dyDescent="0.25">
      <c r="B65" s="11">
        <v>5</v>
      </c>
      <c r="C65" t="s">
        <v>81</v>
      </c>
      <c r="D65" t="s">
        <v>266</v>
      </c>
      <c r="E65" s="6">
        <v>1087</v>
      </c>
      <c r="F65" s="52">
        <v>727.60363219871203</v>
      </c>
      <c r="H65" s="53"/>
      <c r="J65" s="11" t="s">
        <v>797</v>
      </c>
      <c r="K65" s="6"/>
      <c r="L65" s="6">
        <v>885.93</v>
      </c>
    </row>
    <row r="66" spans="2:21" x14ac:dyDescent="0.25">
      <c r="B66" s="11">
        <v>5</v>
      </c>
      <c r="C66" t="s">
        <v>81</v>
      </c>
      <c r="D66" t="s">
        <v>267</v>
      </c>
      <c r="E66" s="6">
        <v>442</v>
      </c>
      <c r="F66" s="52">
        <v>225.99248552036201</v>
      </c>
      <c r="H66" s="53"/>
      <c r="J66" s="11" t="s">
        <v>797</v>
      </c>
      <c r="K66" s="6"/>
      <c r="L66" s="6">
        <v>111.89</v>
      </c>
    </row>
    <row r="67" spans="2:21" x14ac:dyDescent="0.25">
      <c r="B67" s="11">
        <v>5</v>
      </c>
      <c r="C67" t="s">
        <v>81</v>
      </c>
      <c r="D67" t="s">
        <v>268</v>
      </c>
      <c r="E67" s="6">
        <v>267</v>
      </c>
      <c r="F67" s="52">
        <v>144.77768539325842</v>
      </c>
      <c r="H67" s="53">
        <v>2</v>
      </c>
      <c r="K67" s="6"/>
      <c r="L67" s="6">
        <v>43.3</v>
      </c>
    </row>
    <row r="68" spans="2:21" x14ac:dyDescent="0.25">
      <c r="B68" s="11">
        <v>5</v>
      </c>
      <c r="C68" t="s">
        <v>81</v>
      </c>
      <c r="D68" t="s">
        <v>269</v>
      </c>
      <c r="E68" s="6">
        <v>1170</v>
      </c>
      <c r="F68" s="52">
        <v>290.37703794871794</v>
      </c>
      <c r="H68" s="53"/>
      <c r="J68" s="11" t="s">
        <v>797</v>
      </c>
      <c r="K68" s="6"/>
      <c r="L68" s="6">
        <v>380.56</v>
      </c>
    </row>
    <row r="69" spans="2:21" x14ac:dyDescent="0.25">
      <c r="B69" s="11">
        <v>5</v>
      </c>
      <c r="C69" t="s">
        <v>81</v>
      </c>
      <c r="D69" t="s">
        <v>270</v>
      </c>
      <c r="E69" s="6">
        <v>438</v>
      </c>
      <c r="F69" s="52">
        <v>168.4995794520548</v>
      </c>
      <c r="H69" s="53"/>
      <c r="J69" s="11" t="s">
        <v>797</v>
      </c>
      <c r="K69" s="6"/>
      <c r="L69" s="6">
        <v>82.67</v>
      </c>
    </row>
    <row r="70" spans="2:21" x14ac:dyDescent="0.25">
      <c r="B70" s="11">
        <v>5</v>
      </c>
      <c r="C70" t="s">
        <v>81</v>
      </c>
      <c r="D70" t="s">
        <v>271</v>
      </c>
      <c r="E70" s="6">
        <v>49049.92398</v>
      </c>
      <c r="F70" s="52">
        <v>250.77460378155718</v>
      </c>
      <c r="H70" s="53"/>
      <c r="J70" s="11" t="s">
        <v>797</v>
      </c>
      <c r="K70" s="6"/>
      <c r="L70" s="6">
        <v>13778.34</v>
      </c>
    </row>
    <row r="71" spans="2:21" x14ac:dyDescent="0.25">
      <c r="B71" s="11">
        <v>5</v>
      </c>
      <c r="C71" t="s">
        <v>81</v>
      </c>
      <c r="D71" t="s">
        <v>16</v>
      </c>
      <c r="E71" s="6">
        <v>7295</v>
      </c>
      <c r="F71" s="52">
        <v>99.99911002814153</v>
      </c>
      <c r="H71" s="54"/>
      <c r="K71" s="6"/>
      <c r="L71" s="6">
        <v>817.1376803943574</v>
      </c>
    </row>
    <row r="72" spans="2:21" ht="15.75" thickBot="1" x14ac:dyDescent="0.3">
      <c r="B72" s="36"/>
      <c r="C72" s="35"/>
      <c r="D72" s="59" t="s">
        <v>42</v>
      </c>
      <c r="E72" s="55">
        <v>65156.92398</v>
      </c>
      <c r="F72" s="56"/>
      <c r="G72" s="57"/>
      <c r="H72" s="58"/>
      <c r="I72" s="57"/>
      <c r="J72" s="57"/>
      <c r="K72" s="55">
        <v>0</v>
      </c>
      <c r="L72" s="55">
        <v>17977.598937748178</v>
      </c>
      <c r="N72" s="6"/>
      <c r="T72" s="6"/>
      <c r="U72" s="6"/>
    </row>
    <row r="73" spans="2:21" ht="15.75" thickTop="1" x14ac:dyDescent="0.25">
      <c r="B73" s="11">
        <v>6</v>
      </c>
      <c r="C73" t="s">
        <v>80</v>
      </c>
      <c r="D73" t="s">
        <v>16</v>
      </c>
      <c r="E73" s="6">
        <v>3581.2582159624417</v>
      </c>
      <c r="F73" s="52">
        <v>69.999377019699068</v>
      </c>
      <c r="H73" s="54"/>
      <c r="K73" s="6"/>
      <c r="L73" s="6">
        <v>280.80421138304985</v>
      </c>
    </row>
    <row r="74" spans="2:21" x14ac:dyDescent="0.25">
      <c r="B74" s="11">
        <v>6</v>
      </c>
      <c r="C74" t="s">
        <v>82</v>
      </c>
      <c r="D74" t="s">
        <v>272</v>
      </c>
      <c r="E74" s="6">
        <v>154</v>
      </c>
      <c r="F74" s="52">
        <v>69.999806660099253</v>
      </c>
      <c r="H74" s="53">
        <v>1</v>
      </c>
      <c r="K74" s="6"/>
      <c r="L74" s="6">
        <v>12.075150912533642</v>
      </c>
    </row>
    <row r="75" spans="2:21" x14ac:dyDescent="0.25">
      <c r="B75" s="11">
        <v>6</v>
      </c>
      <c r="C75" t="s">
        <v>82</v>
      </c>
      <c r="D75" t="s">
        <v>273</v>
      </c>
      <c r="E75" s="6">
        <v>262</v>
      </c>
      <c r="F75" s="52">
        <v>28.557457786259548</v>
      </c>
      <c r="H75" s="53"/>
      <c r="J75" s="11" t="s">
        <v>797</v>
      </c>
      <c r="K75" s="6"/>
      <c r="L75" s="6">
        <v>8.3810000000000002</v>
      </c>
    </row>
    <row r="76" spans="2:21" x14ac:dyDescent="0.25">
      <c r="B76" s="11">
        <v>6</v>
      </c>
      <c r="C76" t="s">
        <v>82</v>
      </c>
      <c r="D76" t="s">
        <v>274</v>
      </c>
      <c r="E76" s="6">
        <v>420</v>
      </c>
      <c r="F76" s="52">
        <v>63.775645142857151</v>
      </c>
      <c r="H76" s="53"/>
      <c r="J76" s="11" t="s">
        <v>797</v>
      </c>
      <c r="K76" s="6"/>
      <c r="L76" s="6">
        <v>30.004000000000001</v>
      </c>
    </row>
    <row r="77" spans="2:21" x14ac:dyDescent="0.25">
      <c r="B77" s="11">
        <v>6</v>
      </c>
      <c r="C77" t="s">
        <v>82</v>
      </c>
      <c r="D77" t="s">
        <v>275</v>
      </c>
      <c r="E77" s="6">
        <v>9073</v>
      </c>
      <c r="F77" s="52">
        <v>201.22288755428195</v>
      </c>
      <c r="H77" s="53"/>
      <c r="J77" s="11" t="s">
        <v>797</v>
      </c>
      <c r="K77" s="6"/>
      <c r="L77" s="6">
        <v>2045.047</v>
      </c>
    </row>
    <row r="78" spans="2:21" x14ac:dyDescent="0.25">
      <c r="B78" s="11">
        <v>6</v>
      </c>
      <c r="C78" t="s">
        <v>82</v>
      </c>
      <c r="D78" t="s">
        <v>276</v>
      </c>
      <c r="E78" s="6">
        <v>2268</v>
      </c>
      <c r="F78" s="52">
        <v>157.64654761904762</v>
      </c>
      <c r="G78" s="11">
        <v>4</v>
      </c>
      <c r="H78" s="53"/>
      <c r="J78" s="11" t="s">
        <v>797</v>
      </c>
      <c r="K78" s="6"/>
      <c r="L78" s="6">
        <v>400.5</v>
      </c>
    </row>
    <row r="79" spans="2:21" x14ac:dyDescent="0.25">
      <c r="B79" s="11">
        <v>6</v>
      </c>
      <c r="C79" t="s">
        <v>82</v>
      </c>
      <c r="D79" t="s">
        <v>277</v>
      </c>
      <c r="E79" s="6">
        <v>59</v>
      </c>
      <c r="F79" s="52">
        <v>69.999806660099253</v>
      </c>
      <c r="H79" s="53">
        <v>1</v>
      </c>
      <c r="K79" s="6"/>
      <c r="L79" s="6">
        <v>4.626194180775876</v>
      </c>
    </row>
    <row r="80" spans="2:21" x14ac:dyDescent="0.25">
      <c r="B80" s="11">
        <v>6</v>
      </c>
      <c r="C80" t="s">
        <v>82</v>
      </c>
      <c r="D80" t="s">
        <v>278</v>
      </c>
      <c r="E80" s="6">
        <v>28</v>
      </c>
      <c r="F80" s="52">
        <v>69.999806660099253</v>
      </c>
      <c r="H80" s="53">
        <v>1</v>
      </c>
      <c r="K80" s="6"/>
      <c r="L80" s="6">
        <v>2.1954819840970261</v>
      </c>
    </row>
    <row r="81" spans="2:21" x14ac:dyDescent="0.25">
      <c r="B81" s="11">
        <v>6</v>
      </c>
      <c r="C81" t="s">
        <v>82</v>
      </c>
      <c r="D81" t="s">
        <v>279</v>
      </c>
      <c r="E81" s="6">
        <v>152</v>
      </c>
      <c r="F81" s="52">
        <v>23.258226315789475</v>
      </c>
      <c r="H81" s="53">
        <v>5</v>
      </c>
      <c r="J81" s="11" t="s">
        <v>797</v>
      </c>
      <c r="K81" s="6"/>
      <c r="L81" s="6">
        <v>3.96</v>
      </c>
    </row>
    <row r="82" spans="2:21" x14ac:dyDescent="0.25">
      <c r="B82" s="11">
        <v>6</v>
      </c>
      <c r="C82" t="s">
        <v>82</v>
      </c>
      <c r="D82" t="s">
        <v>280</v>
      </c>
      <c r="E82" s="6">
        <v>841</v>
      </c>
      <c r="F82" s="52">
        <v>69.999806660099253</v>
      </c>
      <c r="H82" s="53">
        <v>1</v>
      </c>
      <c r="K82" s="6"/>
      <c r="L82" s="6">
        <v>65.942869593771391</v>
      </c>
    </row>
    <row r="83" spans="2:21" x14ac:dyDescent="0.25">
      <c r="B83" s="11">
        <v>6</v>
      </c>
      <c r="C83" t="s">
        <v>82</v>
      </c>
      <c r="D83" t="s">
        <v>281</v>
      </c>
      <c r="E83" s="6">
        <v>153.191445456</v>
      </c>
      <c r="F83" s="52">
        <v>69.999806660099253</v>
      </c>
      <c r="H83" s="53">
        <v>1</v>
      </c>
      <c r="K83" s="6"/>
      <c r="L83" s="6">
        <v>12.011752093443937</v>
      </c>
    </row>
    <row r="84" spans="2:21" x14ac:dyDescent="0.25">
      <c r="B84" s="11">
        <v>6</v>
      </c>
      <c r="C84" t="s">
        <v>82</v>
      </c>
      <c r="D84" t="s">
        <v>16</v>
      </c>
      <c r="E84" s="6">
        <v>10180.741784037558</v>
      </c>
      <c r="F84" s="52">
        <v>69.999377019699068</v>
      </c>
      <c r="H84" s="54"/>
      <c r="K84" s="6"/>
      <c r="L84" s="6">
        <v>798.26558029769069</v>
      </c>
    </row>
    <row r="85" spans="2:21" ht="15.75" thickBot="1" x14ac:dyDescent="0.3">
      <c r="B85" s="36"/>
      <c r="C85" s="35"/>
      <c r="D85" s="59" t="s">
        <v>42</v>
      </c>
      <c r="E85" s="55">
        <v>27172.191445456003</v>
      </c>
      <c r="F85" s="56"/>
      <c r="G85" s="57"/>
      <c r="H85" s="58"/>
      <c r="I85" s="57"/>
      <c r="J85" s="57"/>
      <c r="K85" s="55">
        <v>0</v>
      </c>
      <c r="L85" s="55">
        <v>3663.8132404453622</v>
      </c>
      <c r="N85" s="6"/>
      <c r="T85" s="6"/>
      <c r="U85" s="6"/>
    </row>
    <row r="86" spans="2:21" ht="15.75" thickTop="1" x14ac:dyDescent="0.25">
      <c r="B86" s="11">
        <v>7</v>
      </c>
      <c r="C86" t="s">
        <v>79</v>
      </c>
      <c r="D86" t="s">
        <v>282</v>
      </c>
      <c r="E86" s="6">
        <v>1371</v>
      </c>
      <c r="F86" s="52">
        <v>438.61143172866525</v>
      </c>
      <c r="H86" s="53">
        <v>4</v>
      </c>
      <c r="K86" s="6"/>
      <c r="L86" s="6">
        <v>673.58500000000004</v>
      </c>
    </row>
    <row r="87" spans="2:21" x14ac:dyDescent="0.25">
      <c r="B87" s="11">
        <v>7</v>
      </c>
      <c r="C87" t="s">
        <v>79</v>
      </c>
      <c r="D87" t="s">
        <v>283</v>
      </c>
      <c r="E87" s="6">
        <v>60</v>
      </c>
      <c r="F87" s="52">
        <v>43.595469999999999</v>
      </c>
      <c r="H87" s="53"/>
      <c r="J87" s="11" t="s">
        <v>797</v>
      </c>
      <c r="K87" s="6"/>
      <c r="L87" s="6">
        <v>2.93</v>
      </c>
    </row>
    <row r="88" spans="2:21" x14ac:dyDescent="0.25">
      <c r="B88" s="11">
        <v>7</v>
      </c>
      <c r="C88" t="s">
        <v>79</v>
      </c>
      <c r="D88" t="s">
        <v>284</v>
      </c>
      <c r="E88" s="6">
        <v>811</v>
      </c>
      <c r="F88" s="52">
        <v>76.196624907521581</v>
      </c>
      <c r="H88" s="53"/>
      <c r="I88" s="11" t="s">
        <v>797</v>
      </c>
      <c r="K88" s="6">
        <v>69.22</v>
      </c>
      <c r="L88" s="6"/>
    </row>
    <row r="89" spans="2:21" x14ac:dyDescent="0.25">
      <c r="B89" s="11">
        <v>7</v>
      </c>
      <c r="C89" t="s">
        <v>79</v>
      </c>
      <c r="D89" t="s">
        <v>285</v>
      </c>
      <c r="E89" s="6">
        <v>6865</v>
      </c>
      <c r="F89" s="52">
        <v>150.71895994173343</v>
      </c>
      <c r="G89" s="11">
        <v>4</v>
      </c>
      <c r="H89" s="53">
        <v>2</v>
      </c>
      <c r="K89" s="6">
        <v>1159</v>
      </c>
      <c r="L89" s="6"/>
    </row>
    <row r="90" spans="2:21" x14ac:dyDescent="0.25">
      <c r="B90" s="11">
        <v>7</v>
      </c>
      <c r="C90" t="s">
        <v>79</v>
      </c>
      <c r="D90" t="s">
        <v>286</v>
      </c>
      <c r="E90" s="6">
        <v>148</v>
      </c>
      <c r="F90" s="52">
        <v>79.999779040113424</v>
      </c>
      <c r="H90" s="53">
        <v>1</v>
      </c>
      <c r="K90" s="6"/>
      <c r="L90" s="6">
        <v>13.262503414137136</v>
      </c>
    </row>
    <row r="91" spans="2:21" x14ac:dyDescent="0.25">
      <c r="B91" s="11">
        <v>7</v>
      </c>
      <c r="C91" t="s">
        <v>79</v>
      </c>
      <c r="D91" t="s">
        <v>287</v>
      </c>
      <c r="E91" s="6">
        <v>237</v>
      </c>
      <c r="F91" s="52">
        <v>71.946556962025326</v>
      </c>
      <c r="H91" s="53"/>
      <c r="J91" s="11" t="s">
        <v>797</v>
      </c>
      <c r="K91" s="6"/>
      <c r="L91" s="6">
        <v>19.100000000000001</v>
      </c>
    </row>
    <row r="92" spans="2:21" x14ac:dyDescent="0.25">
      <c r="B92" s="11">
        <v>7</v>
      </c>
      <c r="C92" t="s">
        <v>79</v>
      </c>
      <c r="D92" t="s">
        <v>288</v>
      </c>
      <c r="E92" s="6">
        <v>84</v>
      </c>
      <c r="F92" s="52">
        <v>166.85735714285715</v>
      </c>
      <c r="H92" s="53"/>
      <c r="J92" s="11" t="s">
        <v>797</v>
      </c>
      <c r="K92" s="6"/>
      <c r="L92" s="6">
        <v>15.7</v>
      </c>
    </row>
    <row r="93" spans="2:21" x14ac:dyDescent="0.25">
      <c r="B93" s="11">
        <v>7</v>
      </c>
      <c r="C93" t="s">
        <v>79</v>
      </c>
      <c r="D93" t="s">
        <v>289</v>
      </c>
      <c r="E93" s="6">
        <v>1289</v>
      </c>
      <c r="F93" s="52">
        <v>40.862420480993023</v>
      </c>
      <c r="H93" s="53"/>
      <c r="I93" s="11" t="s">
        <v>797</v>
      </c>
      <c r="K93" s="6">
        <v>59</v>
      </c>
      <c r="L93" s="6"/>
    </row>
    <row r="94" spans="2:21" x14ac:dyDescent="0.25">
      <c r="B94" s="11">
        <v>7</v>
      </c>
      <c r="C94" t="s">
        <v>79</v>
      </c>
      <c r="D94" t="s">
        <v>290</v>
      </c>
      <c r="E94" s="6">
        <v>55</v>
      </c>
      <c r="F94" s="52">
        <v>79.999779040113424</v>
      </c>
      <c r="H94" s="53">
        <v>1</v>
      </c>
      <c r="K94" s="6"/>
      <c r="L94" s="6">
        <v>4.9286330255239355</v>
      </c>
    </row>
    <row r="95" spans="2:21" x14ac:dyDescent="0.25">
      <c r="B95" s="11">
        <v>7</v>
      </c>
      <c r="C95" t="s">
        <v>79</v>
      </c>
      <c r="D95" t="s">
        <v>291</v>
      </c>
      <c r="E95" s="6">
        <v>324</v>
      </c>
      <c r="F95" s="52">
        <v>108.56159259259259</v>
      </c>
      <c r="H95" s="53"/>
      <c r="J95" s="11" t="s">
        <v>797</v>
      </c>
      <c r="K95" s="6"/>
      <c r="L95" s="6">
        <v>39.4</v>
      </c>
    </row>
    <row r="96" spans="2:21" x14ac:dyDescent="0.25">
      <c r="B96" s="11">
        <v>7</v>
      </c>
      <c r="C96" t="s">
        <v>79</v>
      </c>
      <c r="D96" t="s">
        <v>16</v>
      </c>
      <c r="E96" s="6">
        <v>1143</v>
      </c>
      <c r="F96" s="52">
        <v>79.999288022513227</v>
      </c>
      <c r="H96" s="54"/>
      <c r="K96" s="6"/>
      <c r="L96" s="6">
        <v>102.42504385916386</v>
      </c>
    </row>
    <row r="97" spans="2:21" ht="15.75" thickBot="1" x14ac:dyDescent="0.3">
      <c r="B97" s="36"/>
      <c r="C97" s="35"/>
      <c r="D97" s="59" t="s">
        <v>42</v>
      </c>
      <c r="E97" s="55">
        <v>12387</v>
      </c>
      <c r="F97" s="56"/>
      <c r="G97" s="57"/>
      <c r="H97" s="58"/>
      <c r="I97" s="57"/>
      <c r="J97" s="57"/>
      <c r="K97" s="55">
        <v>1287.22</v>
      </c>
      <c r="L97" s="55">
        <v>871.33118029882496</v>
      </c>
      <c r="N97" s="6"/>
      <c r="T97" s="6"/>
      <c r="U97" s="6"/>
    </row>
    <row r="98" spans="2:21" ht="15.75" thickTop="1" x14ac:dyDescent="0.25">
      <c r="B98" s="11">
        <v>9</v>
      </c>
      <c r="C98" t="s">
        <v>79</v>
      </c>
      <c r="D98" t="s">
        <v>292</v>
      </c>
      <c r="E98" s="6">
        <v>109</v>
      </c>
      <c r="F98" s="52">
        <v>220.31840366972477</v>
      </c>
      <c r="H98" s="53">
        <v>2</v>
      </c>
      <c r="K98" s="6"/>
      <c r="L98" s="6">
        <v>26.9</v>
      </c>
    </row>
    <row r="99" spans="2:21" x14ac:dyDescent="0.25">
      <c r="B99" s="11">
        <v>9</v>
      </c>
      <c r="C99" t="s">
        <v>79</v>
      </c>
      <c r="D99" t="s">
        <v>16</v>
      </c>
      <c r="E99" s="6">
        <v>231.50460014154282</v>
      </c>
      <c r="F99" s="52">
        <v>99.999110028141516</v>
      </c>
      <c r="H99" s="54"/>
      <c r="K99" s="6"/>
      <c r="L99" s="6">
        <v>25.931615073376765</v>
      </c>
    </row>
    <row r="100" spans="2:21" x14ac:dyDescent="0.25">
      <c r="B100" s="11">
        <v>9</v>
      </c>
      <c r="C100" t="s">
        <v>83</v>
      </c>
      <c r="D100" t="s">
        <v>293</v>
      </c>
      <c r="E100" s="6">
        <v>2682</v>
      </c>
      <c r="F100" s="52">
        <v>257.42001454138705</v>
      </c>
      <c r="G100" s="11">
        <v>10</v>
      </c>
      <c r="H100" s="53">
        <v>5</v>
      </c>
      <c r="J100" s="11" t="s">
        <v>797</v>
      </c>
      <c r="K100" s="6"/>
      <c r="L100" s="6">
        <v>773.35</v>
      </c>
    </row>
    <row r="101" spans="2:21" x14ac:dyDescent="0.25">
      <c r="B101" s="11">
        <v>9</v>
      </c>
      <c r="C101" t="s">
        <v>83</v>
      </c>
      <c r="D101" t="s">
        <v>294</v>
      </c>
      <c r="E101" s="6">
        <v>78</v>
      </c>
      <c r="F101" s="52">
        <v>99.99972380014178</v>
      </c>
      <c r="H101" s="53">
        <v>1</v>
      </c>
      <c r="K101" s="6"/>
      <c r="L101" s="6">
        <v>8.7371221816106139</v>
      </c>
    </row>
    <row r="102" spans="2:21" x14ac:dyDescent="0.25">
      <c r="B102" s="11">
        <v>9</v>
      </c>
      <c r="C102" t="s">
        <v>83</v>
      </c>
      <c r="D102" t="s">
        <v>295</v>
      </c>
      <c r="E102" s="6">
        <v>948</v>
      </c>
      <c r="F102" s="52">
        <v>99.99972380014178</v>
      </c>
      <c r="H102" s="53">
        <v>1</v>
      </c>
      <c r="K102" s="6"/>
      <c r="L102" s="6">
        <v>106.18963882265207</v>
      </c>
    </row>
    <row r="103" spans="2:21" x14ac:dyDescent="0.25">
      <c r="B103" s="11">
        <v>9</v>
      </c>
      <c r="C103" t="s">
        <v>83</v>
      </c>
      <c r="D103" t="s">
        <v>296</v>
      </c>
      <c r="E103" s="6">
        <v>56</v>
      </c>
      <c r="F103" s="52">
        <v>99.99972380014178</v>
      </c>
      <c r="H103" s="53">
        <v>1</v>
      </c>
      <c r="K103" s="6"/>
      <c r="L103" s="6">
        <v>6.2728056688486458</v>
      </c>
    </row>
    <row r="104" spans="2:21" x14ac:dyDescent="0.25">
      <c r="B104" s="11">
        <v>9</v>
      </c>
      <c r="C104" t="s">
        <v>83</v>
      </c>
      <c r="D104" t="s">
        <v>297</v>
      </c>
      <c r="E104" s="6">
        <v>40270</v>
      </c>
      <c r="F104" s="52">
        <v>162.95695098981872</v>
      </c>
      <c r="G104" s="11">
        <v>2</v>
      </c>
      <c r="H104" s="53"/>
      <c r="J104" s="11" t="s">
        <v>797</v>
      </c>
      <c r="K104" s="6"/>
      <c r="L104" s="6">
        <v>3675.357</v>
      </c>
    </row>
    <row r="105" spans="2:21" x14ac:dyDescent="0.25">
      <c r="B105" s="11">
        <v>9</v>
      </c>
      <c r="C105" t="s">
        <v>83</v>
      </c>
      <c r="D105" t="s">
        <v>298</v>
      </c>
      <c r="E105" s="6">
        <v>264</v>
      </c>
      <c r="F105" s="52">
        <v>99.99972380014178</v>
      </c>
      <c r="H105" s="53">
        <v>1</v>
      </c>
      <c r="K105" s="6"/>
      <c r="L105" s="6">
        <v>29.571798153143614</v>
      </c>
    </row>
    <row r="106" spans="2:21" x14ac:dyDescent="0.25">
      <c r="B106" s="11">
        <v>9</v>
      </c>
      <c r="C106" t="s">
        <v>83</v>
      </c>
      <c r="D106" t="s">
        <v>299</v>
      </c>
      <c r="E106" s="6">
        <v>1083</v>
      </c>
      <c r="F106" s="52">
        <v>96.363163434903058</v>
      </c>
      <c r="H106" s="53">
        <v>2</v>
      </c>
      <c r="K106" s="6"/>
      <c r="L106" s="6">
        <v>116.9</v>
      </c>
    </row>
    <row r="107" spans="2:21" x14ac:dyDescent="0.25">
      <c r="B107" s="11">
        <v>9</v>
      </c>
      <c r="C107" t="s">
        <v>83</v>
      </c>
      <c r="D107" t="s">
        <v>300</v>
      </c>
      <c r="E107" s="6">
        <v>1229</v>
      </c>
      <c r="F107" s="52">
        <v>95.467973946297789</v>
      </c>
      <c r="H107" s="53"/>
      <c r="J107" s="11" t="s">
        <v>797</v>
      </c>
      <c r="K107" s="6"/>
      <c r="L107" s="6">
        <v>131.42699999999999</v>
      </c>
    </row>
    <row r="108" spans="2:21" x14ac:dyDescent="0.25">
      <c r="B108" s="11">
        <v>9</v>
      </c>
      <c r="C108" t="s">
        <v>83</v>
      </c>
      <c r="D108" t="s">
        <v>301</v>
      </c>
      <c r="E108" s="6">
        <v>168</v>
      </c>
      <c r="F108" s="52">
        <v>99.99972380014178</v>
      </c>
      <c r="H108" s="53">
        <v>1</v>
      </c>
      <c r="K108" s="6"/>
      <c r="L108" s="6">
        <v>18.818417006545936</v>
      </c>
    </row>
    <row r="109" spans="2:21" x14ac:dyDescent="0.25">
      <c r="B109" s="11">
        <v>9</v>
      </c>
      <c r="C109" t="s">
        <v>83</v>
      </c>
      <c r="D109" t="s">
        <v>16</v>
      </c>
      <c r="E109" s="6">
        <v>1311.4</v>
      </c>
      <c r="F109" s="52">
        <v>99.99911002814153</v>
      </c>
      <c r="H109" s="54"/>
      <c r="K109" s="6"/>
      <c r="L109" s="6">
        <v>146.89435970790407</v>
      </c>
    </row>
    <row r="110" spans="2:21" ht="15.75" thickBot="1" x14ac:dyDescent="0.3">
      <c r="B110" s="36"/>
      <c r="C110" s="35"/>
      <c r="D110" s="59" t="s">
        <v>42</v>
      </c>
      <c r="E110" s="55">
        <v>48429.904600141548</v>
      </c>
      <c r="F110" s="56"/>
      <c r="G110" s="57"/>
      <c r="H110" s="58"/>
      <c r="I110" s="57"/>
      <c r="J110" s="57"/>
      <c r="K110" s="55">
        <v>0</v>
      </c>
      <c r="L110" s="55">
        <v>5066.3497566140813</v>
      </c>
      <c r="N110" s="6"/>
      <c r="T110" s="6"/>
      <c r="U110" s="6"/>
    </row>
    <row r="111" spans="2:21" ht="15.75" thickTop="1" x14ac:dyDescent="0.25">
      <c r="B111" s="11">
        <v>11</v>
      </c>
      <c r="C111" t="s">
        <v>81</v>
      </c>
      <c r="D111" t="s">
        <v>302</v>
      </c>
      <c r="E111" s="6">
        <v>992</v>
      </c>
      <c r="F111" s="52">
        <v>530.26596145161295</v>
      </c>
      <c r="G111" s="11">
        <v>3</v>
      </c>
      <c r="H111" s="53"/>
      <c r="J111" s="11" t="s">
        <v>797</v>
      </c>
      <c r="K111" s="6"/>
      <c r="L111" s="6">
        <v>589.22400000000005</v>
      </c>
    </row>
    <row r="112" spans="2:21" x14ac:dyDescent="0.25">
      <c r="B112" s="11">
        <v>11</v>
      </c>
      <c r="C112" t="s">
        <v>81</v>
      </c>
      <c r="D112" t="s">
        <v>303</v>
      </c>
      <c r="E112" s="6">
        <v>452</v>
      </c>
      <c r="F112" s="52">
        <v>79.999779040113424</v>
      </c>
      <c r="G112" s="11">
        <v>6</v>
      </c>
      <c r="H112" s="53">
        <v>1</v>
      </c>
      <c r="K112" s="6"/>
      <c r="L112" s="6">
        <v>40.504402318851255</v>
      </c>
    </row>
    <row r="113" spans="2:21" x14ac:dyDescent="0.25">
      <c r="B113" s="11">
        <v>11</v>
      </c>
      <c r="C113" t="s">
        <v>81</v>
      </c>
      <c r="D113" t="s">
        <v>16</v>
      </c>
      <c r="E113" s="6">
        <v>254</v>
      </c>
      <c r="F113" s="52">
        <v>79.999288022513227</v>
      </c>
      <c r="H113" s="54"/>
      <c r="K113" s="6"/>
      <c r="L113" s="6">
        <v>22.761120857591973</v>
      </c>
    </row>
    <row r="114" spans="2:21" ht="15.75" thickBot="1" x14ac:dyDescent="0.3">
      <c r="B114" s="36"/>
      <c r="C114" s="35"/>
      <c r="D114" s="59" t="s">
        <v>42</v>
      </c>
      <c r="E114" s="55">
        <v>1698</v>
      </c>
      <c r="F114" s="56"/>
      <c r="G114" s="57"/>
      <c r="H114" s="58"/>
      <c r="I114" s="57"/>
      <c r="J114" s="57"/>
      <c r="K114" s="55">
        <v>0</v>
      </c>
      <c r="L114" s="55">
        <v>652.4895231764433</v>
      </c>
      <c r="N114" s="6"/>
      <c r="T114" s="6"/>
      <c r="U114" s="6"/>
    </row>
    <row r="115" spans="2:21" ht="15.75" thickTop="1" x14ac:dyDescent="0.25">
      <c r="B115" s="11">
        <v>13</v>
      </c>
      <c r="C115" t="s">
        <v>82</v>
      </c>
      <c r="D115" t="s">
        <v>304</v>
      </c>
      <c r="E115" s="6">
        <v>285</v>
      </c>
      <c r="F115" s="52">
        <v>81.959796842105263</v>
      </c>
      <c r="H115" s="53"/>
      <c r="J115" s="11" t="s">
        <v>797</v>
      </c>
      <c r="K115" s="6"/>
      <c r="L115" s="6">
        <v>26.164999999999999</v>
      </c>
    </row>
    <row r="116" spans="2:21" x14ac:dyDescent="0.25">
      <c r="B116" s="11">
        <v>13</v>
      </c>
      <c r="C116" t="s">
        <v>82</v>
      </c>
      <c r="D116" t="s">
        <v>305</v>
      </c>
      <c r="E116" s="6">
        <v>800</v>
      </c>
      <c r="F116" s="52">
        <v>166.36209900000003</v>
      </c>
      <c r="H116" s="53"/>
      <c r="J116" s="11" t="s">
        <v>797</v>
      </c>
      <c r="K116" s="6"/>
      <c r="L116" s="6">
        <v>149.08000000000001</v>
      </c>
    </row>
    <row r="117" spans="2:21" x14ac:dyDescent="0.25">
      <c r="B117" s="11">
        <v>13</v>
      </c>
      <c r="C117" t="s">
        <v>82</v>
      </c>
      <c r="D117" t="s">
        <v>306</v>
      </c>
      <c r="E117" s="6">
        <v>9158.7999999999993</v>
      </c>
      <c r="F117" s="52">
        <v>124.10546152552736</v>
      </c>
      <c r="H117" s="53"/>
      <c r="J117" s="11" t="s">
        <v>797</v>
      </c>
      <c r="K117" s="6"/>
      <c r="L117" s="6">
        <v>1273.223</v>
      </c>
    </row>
    <row r="118" spans="2:21" x14ac:dyDescent="0.25">
      <c r="B118" s="11">
        <v>13</v>
      </c>
      <c r="C118" t="s">
        <v>82</v>
      </c>
      <c r="D118" t="s">
        <v>307</v>
      </c>
      <c r="E118" s="6">
        <v>19766</v>
      </c>
      <c r="F118" s="52">
        <v>111.59511959526459</v>
      </c>
      <c r="H118" s="53"/>
      <c r="J118" s="11" t="s">
        <v>797</v>
      </c>
      <c r="K118" s="6"/>
      <c r="L118" s="6">
        <v>2470.808</v>
      </c>
    </row>
    <row r="119" spans="2:21" x14ac:dyDescent="0.25">
      <c r="B119" s="11">
        <v>13</v>
      </c>
      <c r="C119" t="s">
        <v>82</v>
      </c>
      <c r="D119" t="s">
        <v>308</v>
      </c>
      <c r="E119" s="6">
        <v>1229</v>
      </c>
      <c r="F119" s="52">
        <v>99.320775378356387</v>
      </c>
      <c r="H119" s="53"/>
      <c r="J119" s="11" t="s">
        <v>797</v>
      </c>
      <c r="K119" s="6"/>
      <c r="L119" s="6">
        <v>136.73099999999999</v>
      </c>
    </row>
    <row r="120" spans="2:21" x14ac:dyDescent="0.25">
      <c r="B120" s="11">
        <v>13</v>
      </c>
      <c r="C120" t="s">
        <v>82</v>
      </c>
      <c r="D120" t="s">
        <v>309</v>
      </c>
      <c r="E120" s="6">
        <v>509</v>
      </c>
      <c r="F120" s="52">
        <v>123.80672664047151</v>
      </c>
      <c r="H120" s="53"/>
      <c r="J120" s="11" t="s">
        <v>797</v>
      </c>
      <c r="K120" s="6"/>
      <c r="L120" s="6">
        <v>70.588999999999999</v>
      </c>
    </row>
    <row r="121" spans="2:21" x14ac:dyDescent="0.25">
      <c r="B121" s="11">
        <v>13</v>
      </c>
      <c r="C121" t="s">
        <v>82</v>
      </c>
      <c r="D121" t="s">
        <v>310</v>
      </c>
      <c r="E121" s="6">
        <v>220</v>
      </c>
      <c r="F121" s="52">
        <v>101.84134445454546</v>
      </c>
      <c r="H121" s="53"/>
      <c r="J121" s="11" t="s">
        <v>797</v>
      </c>
      <c r="K121" s="6"/>
      <c r="L121" s="6">
        <v>25.097000000000001</v>
      </c>
    </row>
    <row r="122" spans="2:21" x14ac:dyDescent="0.25">
      <c r="B122" s="11">
        <v>13</v>
      </c>
      <c r="C122" t="s">
        <v>82</v>
      </c>
      <c r="D122" t="s">
        <v>311</v>
      </c>
      <c r="E122" s="6">
        <v>104</v>
      </c>
      <c r="F122" s="52">
        <v>133.31011730769231</v>
      </c>
      <c r="H122" s="53"/>
      <c r="J122" s="11" t="s">
        <v>797</v>
      </c>
      <c r="K122" s="6"/>
      <c r="L122" s="6">
        <v>15.53</v>
      </c>
    </row>
    <row r="123" spans="2:21" x14ac:dyDescent="0.25">
      <c r="B123" s="11">
        <v>13</v>
      </c>
      <c r="C123" t="s">
        <v>82</v>
      </c>
      <c r="D123" t="s">
        <v>312</v>
      </c>
      <c r="E123" s="6">
        <v>157</v>
      </c>
      <c r="F123" s="52">
        <v>107.97036382165605</v>
      </c>
      <c r="H123" s="53"/>
      <c r="J123" s="11" t="s">
        <v>797</v>
      </c>
      <c r="K123" s="6"/>
      <c r="L123" s="6">
        <v>18.988</v>
      </c>
    </row>
    <row r="124" spans="2:21" x14ac:dyDescent="0.25">
      <c r="B124" s="11">
        <v>13</v>
      </c>
      <c r="C124" t="s">
        <v>82</v>
      </c>
      <c r="D124" t="s">
        <v>313</v>
      </c>
      <c r="E124" s="6">
        <v>759</v>
      </c>
      <c r="F124" s="52">
        <v>50.021668932806321</v>
      </c>
      <c r="H124" s="53"/>
      <c r="J124" s="11" t="s">
        <v>797</v>
      </c>
      <c r="K124" s="6"/>
      <c r="L124" s="6">
        <v>42.527999999999999</v>
      </c>
    </row>
    <row r="125" spans="2:21" x14ac:dyDescent="0.25">
      <c r="B125" s="11">
        <v>13</v>
      </c>
      <c r="C125" t="s">
        <v>82</v>
      </c>
      <c r="D125" t="s">
        <v>314</v>
      </c>
      <c r="E125" s="6">
        <v>16217</v>
      </c>
      <c r="F125" s="52">
        <v>114.05899908737743</v>
      </c>
      <c r="H125" s="53"/>
      <c r="J125" s="11" t="s">
        <v>797</v>
      </c>
      <c r="K125" s="6"/>
      <c r="L125" s="6">
        <v>2071.9299999999998</v>
      </c>
    </row>
    <row r="126" spans="2:21" x14ac:dyDescent="0.25">
      <c r="B126" s="11">
        <v>13</v>
      </c>
      <c r="C126" t="s">
        <v>82</v>
      </c>
      <c r="D126" t="s">
        <v>315</v>
      </c>
      <c r="E126" s="6">
        <v>329</v>
      </c>
      <c r="F126" s="52">
        <v>64.068340851063837</v>
      </c>
      <c r="H126" s="53"/>
      <c r="J126" s="11" t="s">
        <v>797</v>
      </c>
      <c r="K126" s="6"/>
      <c r="L126" s="6">
        <v>23.611000000000001</v>
      </c>
    </row>
    <row r="127" spans="2:21" x14ac:dyDescent="0.25">
      <c r="B127" s="11">
        <v>13</v>
      </c>
      <c r="C127" t="s">
        <v>82</v>
      </c>
      <c r="D127" t="s">
        <v>316</v>
      </c>
      <c r="E127" s="6">
        <v>70</v>
      </c>
      <c r="F127" s="52">
        <v>83.420176285714291</v>
      </c>
      <c r="H127" s="53"/>
      <c r="J127" s="11" t="s">
        <v>797</v>
      </c>
      <c r="K127" s="6"/>
      <c r="L127" s="6">
        <v>6.5410000000000004</v>
      </c>
    </row>
    <row r="128" spans="2:21" x14ac:dyDescent="0.25">
      <c r="B128" s="11">
        <v>13</v>
      </c>
      <c r="C128" t="s">
        <v>82</v>
      </c>
      <c r="D128" t="s">
        <v>317</v>
      </c>
      <c r="E128" s="6">
        <v>13</v>
      </c>
      <c r="F128" s="52">
        <v>121.41264000000001</v>
      </c>
      <c r="H128" s="53"/>
      <c r="J128" s="11" t="s">
        <v>797</v>
      </c>
      <c r="K128" s="6"/>
      <c r="L128" s="6">
        <v>1.768</v>
      </c>
    </row>
    <row r="129" spans="2:12" x14ac:dyDescent="0.25">
      <c r="B129" s="11">
        <v>13</v>
      </c>
      <c r="C129" t="s">
        <v>82</v>
      </c>
      <c r="D129" t="s">
        <v>318</v>
      </c>
      <c r="E129" s="6">
        <v>1528</v>
      </c>
      <c r="F129" s="52">
        <v>94.303514872774869</v>
      </c>
      <c r="H129" s="53"/>
      <c r="J129" s="11" t="s">
        <v>797</v>
      </c>
      <c r="K129" s="6"/>
      <c r="L129" s="6">
        <v>161.40844000000001</v>
      </c>
    </row>
    <row r="130" spans="2:12" x14ac:dyDescent="0.25">
      <c r="B130" s="11">
        <v>13</v>
      </c>
      <c r="C130" t="s">
        <v>82</v>
      </c>
      <c r="D130" t="s">
        <v>319</v>
      </c>
      <c r="E130" s="6">
        <v>2388.16992428</v>
      </c>
      <c r="F130" s="52">
        <v>168.84968129793853</v>
      </c>
      <c r="H130" s="53">
        <v>5</v>
      </c>
      <c r="J130" s="11" t="s">
        <v>797</v>
      </c>
      <c r="K130" s="6"/>
      <c r="L130" s="6">
        <v>451.69</v>
      </c>
    </row>
    <row r="131" spans="2:12" x14ac:dyDescent="0.25">
      <c r="B131" s="11">
        <v>13</v>
      </c>
      <c r="C131" t="s">
        <v>82</v>
      </c>
      <c r="D131" t="s">
        <v>320</v>
      </c>
      <c r="E131" s="6">
        <v>355.41398697800003</v>
      </c>
      <c r="F131" s="52">
        <v>33.301860235265984</v>
      </c>
      <c r="H131" s="53"/>
      <c r="J131" s="11" t="s">
        <v>797</v>
      </c>
      <c r="K131" s="6"/>
      <c r="L131" s="6">
        <v>13.257999999999999</v>
      </c>
    </row>
    <row r="132" spans="2:12" x14ac:dyDescent="0.25">
      <c r="B132" s="11">
        <v>13</v>
      </c>
      <c r="C132" t="s">
        <v>82</v>
      </c>
      <c r="D132" t="s">
        <v>321</v>
      </c>
      <c r="E132" s="6">
        <v>938</v>
      </c>
      <c r="F132" s="52">
        <v>114.0061339445629</v>
      </c>
      <c r="H132" s="53"/>
      <c r="J132" s="11" t="s">
        <v>797</v>
      </c>
      <c r="K132" s="6"/>
      <c r="L132" s="6">
        <v>119.786</v>
      </c>
    </row>
    <row r="133" spans="2:12" x14ac:dyDescent="0.25">
      <c r="B133" s="11">
        <v>13</v>
      </c>
      <c r="C133" t="s">
        <v>82</v>
      </c>
      <c r="D133" t="s">
        <v>322</v>
      </c>
      <c r="E133" s="6">
        <v>4314.9113903799998</v>
      </c>
      <c r="F133" s="52">
        <v>155.25305342156838</v>
      </c>
      <c r="H133" s="53"/>
      <c r="J133" s="11" t="s">
        <v>797</v>
      </c>
      <c r="K133" s="6"/>
      <c r="L133" s="6">
        <v>750.39</v>
      </c>
    </row>
    <row r="134" spans="2:12" x14ac:dyDescent="0.25">
      <c r="B134" s="11">
        <v>13</v>
      </c>
      <c r="C134" t="s">
        <v>82</v>
      </c>
      <c r="D134" t="s">
        <v>323</v>
      </c>
      <c r="E134" s="6">
        <v>174</v>
      </c>
      <c r="F134" s="52">
        <v>96.354351724137942</v>
      </c>
      <c r="H134" s="53"/>
      <c r="J134" s="11" t="s">
        <v>797</v>
      </c>
      <c r="K134" s="6"/>
      <c r="L134" s="6">
        <v>18.78</v>
      </c>
    </row>
    <row r="135" spans="2:12" x14ac:dyDescent="0.25">
      <c r="B135" s="11">
        <v>13</v>
      </c>
      <c r="C135" t="s">
        <v>82</v>
      </c>
      <c r="D135" t="s">
        <v>324</v>
      </c>
      <c r="E135" s="6">
        <v>111746</v>
      </c>
      <c r="F135" s="52">
        <v>173.74340890949117</v>
      </c>
      <c r="G135" s="11">
        <v>3</v>
      </c>
      <c r="H135" s="53">
        <v>4</v>
      </c>
      <c r="J135" s="11" t="s">
        <v>797</v>
      </c>
      <c r="K135" s="6"/>
      <c r="L135" s="6">
        <v>21747.8</v>
      </c>
    </row>
    <row r="136" spans="2:12" x14ac:dyDescent="0.25">
      <c r="B136" s="11">
        <v>13</v>
      </c>
      <c r="C136" t="s">
        <v>82</v>
      </c>
      <c r="D136" t="s">
        <v>325</v>
      </c>
      <c r="E136" s="6">
        <v>903</v>
      </c>
      <c r="F136" s="52">
        <v>124.78883833887042</v>
      </c>
      <c r="H136" s="53"/>
      <c r="J136" s="11" t="s">
        <v>797</v>
      </c>
      <c r="K136" s="6"/>
      <c r="L136" s="6">
        <v>126.223</v>
      </c>
    </row>
    <row r="137" spans="2:12" x14ac:dyDescent="0.25">
      <c r="B137" s="11">
        <v>13</v>
      </c>
      <c r="C137" t="s">
        <v>82</v>
      </c>
      <c r="D137" t="s">
        <v>326</v>
      </c>
      <c r="E137" s="6">
        <v>15972.1744385</v>
      </c>
      <c r="F137" s="52">
        <v>91.844962296678204</v>
      </c>
      <c r="H137" s="53"/>
      <c r="J137" s="11" t="s">
        <v>797</v>
      </c>
      <c r="K137" s="6"/>
      <c r="L137" s="6">
        <v>1643.2149999999999</v>
      </c>
    </row>
    <row r="138" spans="2:12" x14ac:dyDescent="0.25">
      <c r="B138" s="11">
        <v>13</v>
      </c>
      <c r="C138" t="s">
        <v>82</v>
      </c>
      <c r="D138" t="s">
        <v>327</v>
      </c>
      <c r="E138" s="6">
        <v>64</v>
      </c>
      <c r="F138" s="52">
        <v>233.21437593750002</v>
      </c>
      <c r="H138" s="53"/>
      <c r="J138" s="11" t="s">
        <v>797</v>
      </c>
      <c r="K138" s="6"/>
      <c r="L138" s="6">
        <v>16.719000000000001</v>
      </c>
    </row>
    <row r="139" spans="2:12" x14ac:dyDescent="0.25">
      <c r="B139" s="11">
        <v>13</v>
      </c>
      <c r="C139" t="s">
        <v>82</v>
      </c>
      <c r="D139" t="s">
        <v>328</v>
      </c>
      <c r="E139" s="6">
        <v>2153</v>
      </c>
      <c r="F139" s="52">
        <v>158.94503843938691</v>
      </c>
      <c r="H139" s="53"/>
      <c r="J139" s="11" t="s">
        <v>797</v>
      </c>
      <c r="K139" s="6"/>
      <c r="L139" s="6">
        <v>383.32400000000001</v>
      </c>
    </row>
    <row r="140" spans="2:12" x14ac:dyDescent="0.25">
      <c r="B140" s="11">
        <v>13</v>
      </c>
      <c r="C140" t="s">
        <v>82</v>
      </c>
      <c r="D140" t="s">
        <v>329</v>
      </c>
      <c r="E140" s="6">
        <v>13610</v>
      </c>
      <c r="F140" s="52">
        <v>207.34893374283615</v>
      </c>
      <c r="H140" s="53"/>
      <c r="J140" s="11" t="s">
        <v>797</v>
      </c>
      <c r="K140" s="6"/>
      <c r="L140" s="6">
        <v>3161.076</v>
      </c>
    </row>
    <row r="141" spans="2:12" x14ac:dyDescent="0.25">
      <c r="B141" s="11">
        <v>13</v>
      </c>
      <c r="C141" t="s">
        <v>82</v>
      </c>
      <c r="D141" t="s">
        <v>330</v>
      </c>
      <c r="E141" s="6">
        <v>83</v>
      </c>
      <c r="F141" s="52">
        <v>118.76668771084337</v>
      </c>
      <c r="H141" s="53"/>
      <c r="J141" s="11" t="s">
        <v>797</v>
      </c>
      <c r="K141" s="6"/>
      <c r="L141" s="6">
        <v>11.042</v>
      </c>
    </row>
    <row r="142" spans="2:12" x14ac:dyDescent="0.25">
      <c r="B142" s="11">
        <v>13</v>
      </c>
      <c r="C142" t="s">
        <v>82</v>
      </c>
      <c r="D142" t="s">
        <v>331</v>
      </c>
      <c r="E142" s="6">
        <v>1000</v>
      </c>
      <c r="F142" s="52">
        <v>428.41789134000004</v>
      </c>
      <c r="H142" s="53"/>
      <c r="J142" s="11" t="s">
        <v>797</v>
      </c>
      <c r="K142" s="6"/>
      <c r="L142" s="6">
        <v>479.89100000000002</v>
      </c>
    </row>
    <row r="143" spans="2:12" x14ac:dyDescent="0.25">
      <c r="B143" s="11">
        <v>13</v>
      </c>
      <c r="C143" t="s">
        <v>82</v>
      </c>
      <c r="D143" t="s">
        <v>332</v>
      </c>
      <c r="E143" s="6">
        <v>69</v>
      </c>
      <c r="F143" s="52">
        <v>15.590604347826089</v>
      </c>
      <c r="H143" s="53"/>
      <c r="J143" s="11" t="s">
        <v>797</v>
      </c>
      <c r="K143" s="6"/>
      <c r="L143" s="6">
        <v>1.2050000000000001</v>
      </c>
    </row>
    <row r="144" spans="2:12" x14ac:dyDescent="0.25">
      <c r="B144" s="11">
        <v>13</v>
      </c>
      <c r="C144" t="s">
        <v>82</v>
      </c>
      <c r="D144" t="s">
        <v>333</v>
      </c>
      <c r="E144" s="6">
        <v>493</v>
      </c>
      <c r="F144" s="52">
        <v>184.92031655172414</v>
      </c>
      <c r="G144" s="11">
        <v>4</v>
      </c>
      <c r="H144" s="53"/>
      <c r="J144" s="11" t="s">
        <v>797</v>
      </c>
      <c r="K144" s="6"/>
      <c r="L144" s="6">
        <v>102.119</v>
      </c>
    </row>
    <row r="145" spans="2:21" x14ac:dyDescent="0.25">
      <c r="B145" s="11">
        <v>13</v>
      </c>
      <c r="C145" t="s">
        <v>82</v>
      </c>
      <c r="D145" t="s">
        <v>334</v>
      </c>
      <c r="E145" s="6">
        <v>145</v>
      </c>
      <c r="F145" s="52">
        <v>25.840205379310348</v>
      </c>
      <c r="H145" s="53"/>
      <c r="J145" s="11" t="s">
        <v>797</v>
      </c>
      <c r="K145" s="6"/>
      <c r="L145" s="6">
        <v>4.1970000000000001</v>
      </c>
    </row>
    <row r="146" spans="2:21" x14ac:dyDescent="0.25">
      <c r="B146" s="11">
        <v>13</v>
      </c>
      <c r="C146" t="s">
        <v>82</v>
      </c>
      <c r="D146" t="s">
        <v>335</v>
      </c>
      <c r="E146" s="6">
        <v>171</v>
      </c>
      <c r="F146" s="52">
        <v>68.777524912280697</v>
      </c>
      <c r="H146" s="53"/>
      <c r="J146" s="11" t="s">
        <v>797</v>
      </c>
      <c r="K146" s="6"/>
      <c r="L146" s="6">
        <v>13.173999999999999</v>
      </c>
    </row>
    <row r="147" spans="2:21" x14ac:dyDescent="0.25">
      <c r="B147" s="11">
        <v>13</v>
      </c>
      <c r="C147" t="s">
        <v>82</v>
      </c>
      <c r="D147" t="s">
        <v>336</v>
      </c>
      <c r="E147" s="6">
        <v>385</v>
      </c>
      <c r="F147" s="52">
        <v>101.02106711688313</v>
      </c>
      <c r="H147" s="53"/>
      <c r="J147" s="11" t="s">
        <v>797</v>
      </c>
      <c r="K147" s="6"/>
      <c r="L147" s="6">
        <v>43.566000000000003</v>
      </c>
    </row>
    <row r="148" spans="2:21" x14ac:dyDescent="0.25">
      <c r="B148" s="11">
        <v>13</v>
      </c>
      <c r="C148" t="s">
        <v>82</v>
      </c>
      <c r="D148" t="s">
        <v>337</v>
      </c>
      <c r="E148" s="6">
        <v>366.97071051400002</v>
      </c>
      <c r="F148" s="52">
        <v>95.613516868566023</v>
      </c>
      <c r="H148" s="53"/>
      <c r="J148" s="11" t="s">
        <v>797</v>
      </c>
      <c r="K148" s="6"/>
      <c r="L148" s="6">
        <v>39.302999999999997</v>
      </c>
    </row>
    <row r="149" spans="2:21" x14ac:dyDescent="0.25">
      <c r="B149" s="11">
        <v>13</v>
      </c>
      <c r="C149" t="s">
        <v>82</v>
      </c>
      <c r="D149" t="s">
        <v>338</v>
      </c>
      <c r="E149" s="6">
        <v>173</v>
      </c>
      <c r="F149" s="52">
        <v>116.64963988439307</v>
      </c>
      <c r="H149" s="53"/>
      <c r="J149" s="11" t="s">
        <v>797</v>
      </c>
      <c r="K149" s="6"/>
      <c r="L149" s="6">
        <v>22.605</v>
      </c>
    </row>
    <row r="150" spans="2:21" x14ac:dyDescent="0.25">
      <c r="B150" s="11">
        <v>13</v>
      </c>
      <c r="C150" t="s">
        <v>82</v>
      </c>
      <c r="D150" t="s">
        <v>339</v>
      </c>
      <c r="E150" s="6">
        <v>64</v>
      </c>
      <c r="F150" s="52">
        <v>69.006012187500005</v>
      </c>
      <c r="H150" s="53"/>
      <c r="J150" s="11" t="s">
        <v>797</v>
      </c>
      <c r="K150" s="6"/>
      <c r="L150" s="6">
        <v>4.9470000000000001</v>
      </c>
    </row>
    <row r="151" spans="2:21" x14ac:dyDescent="0.25">
      <c r="B151" s="11">
        <v>13</v>
      </c>
      <c r="C151" t="s">
        <v>82</v>
      </c>
      <c r="D151" t="s">
        <v>340</v>
      </c>
      <c r="E151" s="6">
        <v>140</v>
      </c>
      <c r="F151" s="52">
        <v>123.26188714285713</v>
      </c>
      <c r="H151" s="53"/>
      <c r="J151" s="11" t="s">
        <v>797</v>
      </c>
      <c r="K151" s="6"/>
      <c r="L151" s="6">
        <v>19.329999999999998</v>
      </c>
    </row>
    <row r="152" spans="2:21" x14ac:dyDescent="0.25">
      <c r="B152" s="11">
        <v>13</v>
      </c>
      <c r="C152" t="s">
        <v>82</v>
      </c>
      <c r="D152" t="s">
        <v>341</v>
      </c>
      <c r="E152" s="6">
        <v>455</v>
      </c>
      <c r="F152" s="52">
        <v>114.52186443956043</v>
      </c>
      <c r="H152" s="53"/>
      <c r="J152" s="11" t="s">
        <v>797</v>
      </c>
      <c r="K152" s="6"/>
      <c r="L152" s="6">
        <v>58.368000000000002</v>
      </c>
    </row>
    <row r="153" spans="2:21" x14ac:dyDescent="0.25">
      <c r="B153" s="11">
        <v>13</v>
      </c>
      <c r="C153" t="s">
        <v>82</v>
      </c>
      <c r="D153" t="s">
        <v>342</v>
      </c>
      <c r="E153" s="6">
        <v>49</v>
      </c>
      <c r="F153" s="52">
        <v>290.74173306122447</v>
      </c>
      <c r="H153" s="53"/>
      <c r="J153" s="11" t="s">
        <v>797</v>
      </c>
      <c r="K153" s="6"/>
      <c r="L153" s="6">
        <v>15.958</v>
      </c>
    </row>
    <row r="154" spans="2:21" x14ac:dyDescent="0.25">
      <c r="B154" s="11">
        <v>13</v>
      </c>
      <c r="C154" t="s">
        <v>82</v>
      </c>
      <c r="D154" t="s">
        <v>343</v>
      </c>
      <c r="E154" s="6">
        <v>110</v>
      </c>
      <c r="F154" s="52">
        <v>175.53703145454546</v>
      </c>
      <c r="H154" s="53"/>
      <c r="J154" s="11" t="s">
        <v>797</v>
      </c>
      <c r="K154" s="6"/>
      <c r="L154" s="6">
        <v>21.629000000000001</v>
      </c>
    </row>
    <row r="155" spans="2:21" x14ac:dyDescent="0.25">
      <c r="B155" s="11">
        <v>13</v>
      </c>
      <c r="C155" t="s">
        <v>82</v>
      </c>
      <c r="D155" t="s">
        <v>344</v>
      </c>
      <c r="E155" s="6">
        <v>1159</v>
      </c>
      <c r="F155" s="52">
        <v>702.40690767903368</v>
      </c>
      <c r="G155" s="11">
        <v>10</v>
      </c>
      <c r="H155" s="53"/>
      <c r="J155" s="11" t="s">
        <v>797</v>
      </c>
      <c r="K155" s="6"/>
      <c r="L155" s="6">
        <v>911.9</v>
      </c>
    </row>
    <row r="156" spans="2:21" x14ac:dyDescent="0.25">
      <c r="B156" s="11">
        <v>13</v>
      </c>
      <c r="C156" t="s">
        <v>82</v>
      </c>
      <c r="D156" t="s">
        <v>345</v>
      </c>
      <c r="E156" s="6">
        <v>163</v>
      </c>
      <c r="F156" s="52">
        <v>81.880141104294481</v>
      </c>
      <c r="H156" s="53"/>
      <c r="J156" s="11" t="s">
        <v>797</v>
      </c>
      <c r="K156" s="6"/>
      <c r="L156" s="6">
        <v>14.95</v>
      </c>
    </row>
    <row r="157" spans="2:21" x14ac:dyDescent="0.25">
      <c r="B157" s="11">
        <v>13</v>
      </c>
      <c r="C157" t="s">
        <v>82</v>
      </c>
      <c r="D157" t="s">
        <v>16</v>
      </c>
      <c r="E157" s="6">
        <v>10772</v>
      </c>
      <c r="F157" s="52">
        <v>99.999110028141516</v>
      </c>
      <c r="H157" s="54"/>
      <c r="K157" s="6"/>
      <c r="L157" s="6">
        <v>1206.6082375884876</v>
      </c>
    </row>
    <row r="158" spans="2:21" ht="15.75" thickBot="1" x14ac:dyDescent="0.3">
      <c r="B158" s="36"/>
      <c r="C158" s="35"/>
      <c r="D158" s="59" t="s">
        <v>42</v>
      </c>
      <c r="E158" s="55">
        <v>219561.44045065201</v>
      </c>
      <c r="F158" s="56"/>
      <c r="G158" s="57"/>
      <c r="H158" s="58"/>
      <c r="I158" s="57"/>
      <c r="J158" s="57"/>
      <c r="K158" s="55">
        <v>0</v>
      </c>
      <c r="L158" s="55">
        <v>37897.050677588493</v>
      </c>
      <c r="N158" s="6"/>
      <c r="T158" s="6"/>
      <c r="U158" s="6"/>
    </row>
    <row r="159" spans="2:21" ht="15.75" thickTop="1" x14ac:dyDescent="0.25">
      <c r="B159" s="11">
        <v>15</v>
      </c>
      <c r="C159" t="s">
        <v>81</v>
      </c>
      <c r="D159" t="s">
        <v>346</v>
      </c>
      <c r="E159" s="6">
        <v>13237.828782099999</v>
      </c>
      <c r="F159" s="52">
        <v>346.99427732523611</v>
      </c>
      <c r="H159" s="53"/>
      <c r="J159" s="11" t="s">
        <v>797</v>
      </c>
      <c r="K159" s="6"/>
      <c r="L159" s="6">
        <v>5145.34</v>
      </c>
    </row>
    <row r="160" spans="2:21" x14ac:dyDescent="0.25">
      <c r="B160" s="11">
        <v>15</v>
      </c>
      <c r="C160" t="s">
        <v>81</v>
      </c>
      <c r="D160" t="s">
        <v>347</v>
      </c>
      <c r="E160" s="6">
        <v>1941</v>
      </c>
      <c r="F160" s="52">
        <v>174.9144884080371</v>
      </c>
      <c r="H160" s="53">
        <v>2</v>
      </c>
      <c r="J160" s="11" t="s">
        <v>797</v>
      </c>
      <c r="K160" s="6"/>
      <c r="L160" s="6">
        <v>380.3</v>
      </c>
    </row>
    <row r="161" spans="2:21" x14ac:dyDescent="0.25">
      <c r="B161" s="11">
        <v>15</v>
      </c>
      <c r="C161" t="s">
        <v>81</v>
      </c>
      <c r="D161" t="s">
        <v>348</v>
      </c>
      <c r="E161" s="6">
        <v>200</v>
      </c>
      <c r="F161" s="52">
        <v>496.58662500000003</v>
      </c>
      <c r="G161" s="11">
        <v>6</v>
      </c>
      <c r="H161" s="53"/>
      <c r="J161" s="11" t="s">
        <v>797</v>
      </c>
      <c r="K161" s="6"/>
      <c r="L161" s="6">
        <v>111.25</v>
      </c>
    </row>
    <row r="162" spans="2:21" x14ac:dyDescent="0.25">
      <c r="B162" s="11">
        <v>15</v>
      </c>
      <c r="C162" t="s">
        <v>81</v>
      </c>
      <c r="D162" t="s">
        <v>349</v>
      </c>
      <c r="E162" s="6">
        <v>33549.041468800002</v>
      </c>
      <c r="F162" s="52">
        <v>254.18830145507064</v>
      </c>
      <c r="H162" s="53">
        <v>4</v>
      </c>
      <c r="J162" s="11" t="s">
        <v>797</v>
      </c>
      <c r="K162" s="6"/>
      <c r="L162" s="6">
        <v>9552.36</v>
      </c>
    </row>
    <row r="163" spans="2:21" x14ac:dyDescent="0.25">
      <c r="B163" s="11">
        <v>15</v>
      </c>
      <c r="C163" t="s">
        <v>81</v>
      </c>
      <c r="D163" t="s">
        <v>350</v>
      </c>
      <c r="E163" s="6">
        <v>1344</v>
      </c>
      <c r="F163" s="52">
        <v>165.37609955357141</v>
      </c>
      <c r="H163" s="53"/>
      <c r="J163" s="11" t="s">
        <v>797</v>
      </c>
      <c r="K163" s="6"/>
      <c r="L163" s="6">
        <v>248.97</v>
      </c>
    </row>
    <row r="164" spans="2:21" x14ac:dyDescent="0.25">
      <c r="B164" s="11">
        <v>15</v>
      </c>
      <c r="C164" t="s">
        <v>81</v>
      </c>
      <c r="D164" t="s">
        <v>351</v>
      </c>
      <c r="E164" s="6">
        <v>638</v>
      </c>
      <c r="F164" s="52">
        <v>99.999723800141766</v>
      </c>
      <c r="H164" s="53">
        <v>1</v>
      </c>
      <c r="K164" s="6"/>
      <c r="L164" s="6">
        <v>71.465178870097063</v>
      </c>
    </row>
    <row r="165" spans="2:21" x14ac:dyDescent="0.25">
      <c r="B165" s="11">
        <v>15</v>
      </c>
      <c r="C165" t="s">
        <v>81</v>
      </c>
      <c r="D165" t="s">
        <v>352</v>
      </c>
      <c r="E165" s="6">
        <v>147</v>
      </c>
      <c r="F165" s="52">
        <v>373.06815102040815</v>
      </c>
      <c r="H165" s="53"/>
      <c r="J165" s="11" t="s">
        <v>797</v>
      </c>
      <c r="K165" s="6"/>
      <c r="L165" s="6">
        <v>61.43</v>
      </c>
    </row>
    <row r="166" spans="2:21" x14ac:dyDescent="0.25">
      <c r="B166" s="11">
        <v>15</v>
      </c>
      <c r="C166" t="s">
        <v>81</v>
      </c>
      <c r="D166" t="s">
        <v>353</v>
      </c>
      <c r="E166" s="6">
        <v>39</v>
      </c>
      <c r="F166" s="52">
        <v>99.99972380014178</v>
      </c>
      <c r="H166" s="53">
        <v>1</v>
      </c>
      <c r="K166" s="6"/>
      <c r="L166" s="6">
        <v>4.368561090805307</v>
      </c>
    </row>
    <row r="167" spans="2:21" x14ac:dyDescent="0.25">
      <c r="B167" s="11">
        <v>15</v>
      </c>
      <c r="C167" t="s">
        <v>81</v>
      </c>
      <c r="D167" t="s">
        <v>354</v>
      </c>
      <c r="E167" s="6">
        <v>1523</v>
      </c>
      <c r="F167" s="52">
        <v>79.999779040113424</v>
      </c>
      <c r="G167" s="11">
        <v>3</v>
      </c>
      <c r="H167" s="53">
        <v>3</v>
      </c>
      <c r="J167" s="11" t="s">
        <v>797</v>
      </c>
      <c r="K167" s="6"/>
      <c r="L167" s="6">
        <v>136.47832905223552</v>
      </c>
    </row>
    <row r="168" spans="2:21" x14ac:dyDescent="0.25">
      <c r="B168" s="11">
        <v>15</v>
      </c>
      <c r="C168" t="s">
        <v>81</v>
      </c>
      <c r="D168" t="s">
        <v>355</v>
      </c>
      <c r="E168" s="6">
        <v>783</v>
      </c>
      <c r="F168" s="52">
        <v>199.99944760028356</v>
      </c>
      <c r="G168" s="11">
        <v>6</v>
      </c>
      <c r="H168" s="53">
        <v>3</v>
      </c>
      <c r="J168" s="11" t="s">
        <v>797</v>
      </c>
      <c r="K168" s="6"/>
      <c r="L168" s="6">
        <v>175.41452995387462</v>
      </c>
    </row>
    <row r="169" spans="2:21" x14ac:dyDescent="0.25">
      <c r="B169" s="11">
        <v>15</v>
      </c>
      <c r="C169" t="s">
        <v>81</v>
      </c>
      <c r="D169" t="s">
        <v>356</v>
      </c>
      <c r="E169" s="6">
        <v>302</v>
      </c>
      <c r="F169" s="52">
        <v>99.999723800141794</v>
      </c>
      <c r="G169" s="11">
        <v>6</v>
      </c>
      <c r="H169" s="53">
        <v>1</v>
      </c>
      <c r="K169" s="6"/>
      <c r="L169" s="6">
        <v>33.828344857005199</v>
      </c>
    </row>
    <row r="170" spans="2:21" x14ac:dyDescent="0.25">
      <c r="B170" s="11">
        <v>15</v>
      </c>
      <c r="C170" t="s">
        <v>81</v>
      </c>
      <c r="D170" t="s">
        <v>357</v>
      </c>
      <c r="E170" s="6">
        <v>222</v>
      </c>
      <c r="F170" s="52">
        <v>99.999723800141766</v>
      </c>
      <c r="H170" s="53">
        <v>1</v>
      </c>
      <c r="K170" s="6"/>
      <c r="L170" s="6">
        <v>24.867193901507129</v>
      </c>
    </row>
    <row r="171" spans="2:21" x14ac:dyDescent="0.25">
      <c r="B171" s="11">
        <v>15</v>
      </c>
      <c r="C171" t="s">
        <v>81</v>
      </c>
      <c r="D171" t="s">
        <v>358</v>
      </c>
      <c r="E171" s="6">
        <v>4488</v>
      </c>
      <c r="F171" s="52">
        <v>99.99972380014178</v>
      </c>
      <c r="H171" s="53">
        <v>1</v>
      </c>
      <c r="J171" s="11" t="s">
        <v>797</v>
      </c>
      <c r="K171" s="6"/>
      <c r="L171" s="6">
        <v>502.72056860344145</v>
      </c>
    </row>
    <row r="172" spans="2:21" x14ac:dyDescent="0.25">
      <c r="B172" s="11">
        <v>15</v>
      </c>
      <c r="C172" t="s">
        <v>81</v>
      </c>
      <c r="D172" t="s">
        <v>359</v>
      </c>
      <c r="E172" s="6">
        <v>105</v>
      </c>
      <c r="F172" s="52">
        <v>313.64931999999999</v>
      </c>
      <c r="H172" s="53">
        <v>5</v>
      </c>
      <c r="J172" s="11" t="s">
        <v>797</v>
      </c>
      <c r="K172" s="6"/>
      <c r="L172" s="6">
        <v>36.89</v>
      </c>
    </row>
    <row r="173" spans="2:21" x14ac:dyDescent="0.25">
      <c r="B173" s="11">
        <v>15</v>
      </c>
      <c r="C173" t="s">
        <v>81</v>
      </c>
      <c r="D173" t="s">
        <v>360</v>
      </c>
      <c r="E173" s="6">
        <v>19</v>
      </c>
      <c r="F173" s="52">
        <v>5168.4947368421053</v>
      </c>
      <c r="H173" s="53"/>
      <c r="J173" s="11" t="s">
        <v>797</v>
      </c>
      <c r="K173" s="6"/>
      <c r="L173" s="6">
        <v>110</v>
      </c>
    </row>
    <row r="174" spans="2:21" x14ac:dyDescent="0.25">
      <c r="B174" s="11">
        <v>15</v>
      </c>
      <c r="C174" t="s">
        <v>81</v>
      </c>
      <c r="D174" t="s">
        <v>16</v>
      </c>
      <c r="E174" s="6">
        <v>3776</v>
      </c>
      <c r="F174" s="52">
        <v>99.999110028141516</v>
      </c>
      <c r="H174" s="54"/>
      <c r="K174" s="6"/>
      <c r="L174" s="6">
        <v>422.96256081824441</v>
      </c>
    </row>
    <row r="175" spans="2:21" ht="15.75" thickBot="1" x14ac:dyDescent="0.3">
      <c r="B175" s="36"/>
      <c r="C175" s="35"/>
      <c r="D175" s="59" t="s">
        <v>42</v>
      </c>
      <c r="E175" s="55">
        <v>62313.8702509</v>
      </c>
      <c r="F175" s="56"/>
      <c r="G175" s="57"/>
      <c r="H175" s="58"/>
      <c r="I175" s="57"/>
      <c r="J175" s="57"/>
      <c r="K175" s="55">
        <v>0</v>
      </c>
      <c r="L175" s="55">
        <v>17018.645267147211</v>
      </c>
      <c r="N175" s="6"/>
      <c r="T175" s="6"/>
      <c r="U175" s="6"/>
    </row>
    <row r="176" spans="2:21" ht="15.75" thickTop="1" x14ac:dyDescent="0.25">
      <c r="B176" s="11">
        <v>17</v>
      </c>
      <c r="C176" t="s">
        <v>80</v>
      </c>
      <c r="D176" t="s">
        <v>361</v>
      </c>
      <c r="E176" s="6">
        <v>302</v>
      </c>
      <c r="F176" s="52">
        <v>79.999779040113424</v>
      </c>
      <c r="H176" s="53">
        <v>1</v>
      </c>
      <c r="K176" s="6"/>
      <c r="L176" s="6">
        <v>27.062675885604158</v>
      </c>
    </row>
    <row r="177" spans="2:12" x14ac:dyDescent="0.25">
      <c r="B177" s="11">
        <v>17</v>
      </c>
      <c r="C177" t="s">
        <v>80</v>
      </c>
      <c r="D177" t="s">
        <v>362</v>
      </c>
      <c r="E177" s="6">
        <v>22</v>
      </c>
      <c r="F177" s="52">
        <v>34.264984363636366</v>
      </c>
      <c r="H177" s="53"/>
      <c r="J177" s="11" t="s">
        <v>797</v>
      </c>
      <c r="K177" s="6"/>
      <c r="L177" s="6">
        <v>0.84440000000000004</v>
      </c>
    </row>
    <row r="178" spans="2:12" x14ac:dyDescent="0.25">
      <c r="B178" s="11">
        <v>17</v>
      </c>
      <c r="C178" t="s">
        <v>80</v>
      </c>
      <c r="D178" t="s">
        <v>363</v>
      </c>
      <c r="E178" s="6">
        <v>50</v>
      </c>
      <c r="F178" s="52">
        <v>41.5481196</v>
      </c>
      <c r="H178" s="53"/>
      <c r="J178" s="11" t="s">
        <v>797</v>
      </c>
      <c r="K178" s="6"/>
      <c r="L178" s="6">
        <v>2.327</v>
      </c>
    </row>
    <row r="179" spans="2:12" x14ac:dyDescent="0.25">
      <c r="B179" s="11">
        <v>17</v>
      </c>
      <c r="C179" t="s">
        <v>80</v>
      </c>
      <c r="D179" t="s">
        <v>364</v>
      </c>
      <c r="E179" s="6">
        <v>42</v>
      </c>
      <c r="F179" s="52">
        <v>85.405460000000005</v>
      </c>
      <c r="H179" s="53"/>
      <c r="J179" s="11" t="s">
        <v>797</v>
      </c>
      <c r="K179" s="6"/>
      <c r="L179" s="6">
        <v>4.0179999999999998</v>
      </c>
    </row>
    <row r="180" spans="2:12" x14ac:dyDescent="0.25">
      <c r="B180" s="11">
        <v>17</v>
      </c>
      <c r="C180" t="s">
        <v>80</v>
      </c>
      <c r="D180" t="s">
        <v>16</v>
      </c>
      <c r="E180" s="6">
        <v>2435.7644216929984</v>
      </c>
      <c r="F180" s="52">
        <v>79.999288022513213</v>
      </c>
      <c r="H180" s="54"/>
      <c r="K180" s="6"/>
      <c r="L180" s="6">
        <v>218.27058418416118</v>
      </c>
    </row>
    <row r="181" spans="2:12" x14ac:dyDescent="0.25">
      <c r="B181" s="11">
        <v>17</v>
      </c>
      <c r="C181" t="s">
        <v>82</v>
      </c>
      <c r="D181" t="s">
        <v>365</v>
      </c>
      <c r="E181" s="6">
        <v>1194.8297164000001</v>
      </c>
      <c r="F181" s="52">
        <v>71.504095376381116</v>
      </c>
      <c r="G181" s="11">
        <v>6</v>
      </c>
      <c r="H181" s="53"/>
      <c r="J181" s="11" t="s">
        <v>797</v>
      </c>
      <c r="K181" s="6"/>
      <c r="L181" s="6">
        <v>95.7</v>
      </c>
    </row>
    <row r="182" spans="2:12" x14ac:dyDescent="0.25">
      <c r="B182" s="11">
        <v>17</v>
      </c>
      <c r="C182" t="s">
        <v>82</v>
      </c>
      <c r="D182" t="s">
        <v>366</v>
      </c>
      <c r="E182" s="6">
        <v>2156</v>
      </c>
      <c r="F182" s="52">
        <v>71.634517625231908</v>
      </c>
      <c r="H182" s="53">
        <v>2</v>
      </c>
      <c r="K182" s="6"/>
      <c r="L182" s="6">
        <v>173</v>
      </c>
    </row>
    <row r="183" spans="2:12" x14ac:dyDescent="0.25">
      <c r="B183" s="11">
        <v>17</v>
      </c>
      <c r="C183" t="s">
        <v>82</v>
      </c>
      <c r="D183" t="s">
        <v>367</v>
      </c>
      <c r="E183" s="6">
        <v>27</v>
      </c>
      <c r="F183" s="52">
        <v>186.74798222222222</v>
      </c>
      <c r="H183" s="53"/>
      <c r="J183" s="11" t="s">
        <v>797</v>
      </c>
      <c r="K183" s="6"/>
      <c r="L183" s="6">
        <v>5.6479999999999997</v>
      </c>
    </row>
    <row r="184" spans="2:12" x14ac:dyDescent="0.25">
      <c r="B184" s="11">
        <v>17</v>
      </c>
      <c r="C184" t="s">
        <v>82</v>
      </c>
      <c r="D184" t="s">
        <v>368</v>
      </c>
      <c r="E184" s="6">
        <v>368</v>
      </c>
      <c r="F184" s="52">
        <v>86.84807608695651</v>
      </c>
      <c r="H184" s="53">
        <v>2</v>
      </c>
      <c r="K184" s="6"/>
      <c r="L184" s="6">
        <v>35.799999999999997</v>
      </c>
    </row>
    <row r="185" spans="2:12" x14ac:dyDescent="0.25">
      <c r="B185" s="11">
        <v>17</v>
      </c>
      <c r="C185" t="s">
        <v>82</v>
      </c>
      <c r="D185" t="s">
        <v>369</v>
      </c>
      <c r="E185" s="6">
        <v>64</v>
      </c>
      <c r="F185" s="52">
        <v>84.531318749999997</v>
      </c>
      <c r="H185" s="53"/>
      <c r="J185" s="11" t="s">
        <v>797</v>
      </c>
      <c r="K185" s="6"/>
      <c r="L185" s="6">
        <v>6.06</v>
      </c>
    </row>
    <row r="186" spans="2:12" x14ac:dyDescent="0.25">
      <c r="B186" s="11">
        <v>17</v>
      </c>
      <c r="C186" t="s">
        <v>82</v>
      </c>
      <c r="D186" t="s">
        <v>370</v>
      </c>
      <c r="E186" s="6">
        <v>187</v>
      </c>
      <c r="F186" s="52">
        <v>65.308466310160426</v>
      </c>
      <c r="H186" s="53">
        <v>5</v>
      </c>
      <c r="J186" s="11" t="s">
        <v>797</v>
      </c>
      <c r="K186" s="6"/>
      <c r="L186" s="6">
        <v>13.68</v>
      </c>
    </row>
    <row r="187" spans="2:12" x14ac:dyDescent="0.25">
      <c r="B187" s="11">
        <v>17</v>
      </c>
      <c r="C187" t="s">
        <v>82</v>
      </c>
      <c r="D187" t="s">
        <v>371</v>
      </c>
      <c r="E187" s="6">
        <v>242</v>
      </c>
      <c r="F187" s="52">
        <v>96.652016528925614</v>
      </c>
      <c r="G187" s="11">
        <v>6</v>
      </c>
      <c r="H187" s="53">
        <v>2</v>
      </c>
      <c r="K187" s="6"/>
      <c r="L187" s="6">
        <v>26.2</v>
      </c>
    </row>
    <row r="188" spans="2:12" x14ac:dyDescent="0.25">
      <c r="B188" s="11">
        <v>17</v>
      </c>
      <c r="C188" t="s">
        <v>82</v>
      </c>
      <c r="D188" t="s">
        <v>372</v>
      </c>
      <c r="E188" s="6">
        <v>269</v>
      </c>
      <c r="F188" s="52">
        <v>60.533745724907057</v>
      </c>
      <c r="G188" s="11">
        <v>6</v>
      </c>
      <c r="H188" s="53">
        <v>5</v>
      </c>
      <c r="J188" s="11" t="s">
        <v>797</v>
      </c>
      <c r="K188" s="6"/>
      <c r="L188" s="6">
        <v>18.239999999999998</v>
      </c>
    </row>
    <row r="189" spans="2:12" x14ac:dyDescent="0.25">
      <c r="B189" s="11">
        <v>17</v>
      </c>
      <c r="C189" t="s">
        <v>82</v>
      </c>
      <c r="D189" t="s">
        <v>373</v>
      </c>
      <c r="E189" s="6">
        <v>84.385586531200005</v>
      </c>
      <c r="F189" s="52">
        <v>60.93673826748568</v>
      </c>
      <c r="G189" s="11">
        <v>6</v>
      </c>
      <c r="H189" s="53">
        <v>5</v>
      </c>
      <c r="J189" s="11" t="s">
        <v>797</v>
      </c>
      <c r="K189" s="6"/>
      <c r="L189" s="6">
        <v>5.76</v>
      </c>
    </row>
    <row r="190" spans="2:12" x14ac:dyDescent="0.25">
      <c r="B190" s="11">
        <v>17</v>
      </c>
      <c r="C190" t="s">
        <v>82</v>
      </c>
      <c r="D190" t="s">
        <v>374</v>
      </c>
      <c r="E190" s="6">
        <v>195</v>
      </c>
      <c r="F190" s="52">
        <v>79.999779040113424</v>
      </c>
      <c r="G190" s="11">
        <v>7</v>
      </c>
      <c r="H190" s="53">
        <v>1</v>
      </c>
      <c r="K190" s="6"/>
      <c r="L190" s="6">
        <v>17.474244363221228</v>
      </c>
    </row>
    <row r="191" spans="2:12" x14ac:dyDescent="0.25">
      <c r="B191" s="11">
        <v>17</v>
      </c>
      <c r="C191" t="s">
        <v>82</v>
      </c>
      <c r="D191" t="s">
        <v>375</v>
      </c>
      <c r="E191" s="6">
        <v>225</v>
      </c>
      <c r="F191" s="52">
        <v>71.946908533333342</v>
      </c>
      <c r="G191" s="11">
        <v>3</v>
      </c>
      <c r="H191" s="53">
        <v>5</v>
      </c>
      <c r="J191" s="11" t="s">
        <v>797</v>
      </c>
      <c r="K191" s="6"/>
      <c r="L191" s="6">
        <v>18.132999999999999</v>
      </c>
    </row>
    <row r="192" spans="2:12" x14ac:dyDescent="0.25">
      <c r="B192" s="11">
        <v>17</v>
      </c>
      <c r="C192" t="s">
        <v>82</v>
      </c>
      <c r="D192" t="s">
        <v>376</v>
      </c>
      <c r="E192" s="6">
        <v>1729</v>
      </c>
      <c r="F192" s="52">
        <v>94.488964719491037</v>
      </c>
      <c r="H192" s="53"/>
      <c r="J192" s="11" t="s">
        <v>797</v>
      </c>
      <c r="K192" s="6"/>
      <c r="L192" s="6">
        <v>183</v>
      </c>
    </row>
    <row r="193" spans="2:21" x14ac:dyDescent="0.25">
      <c r="B193" s="11">
        <v>17</v>
      </c>
      <c r="C193" t="s">
        <v>82</v>
      </c>
      <c r="D193" t="s">
        <v>377</v>
      </c>
      <c r="E193" s="6">
        <v>15645</v>
      </c>
      <c r="F193" s="52">
        <v>118.9298584467881</v>
      </c>
      <c r="G193" s="11">
        <v>3</v>
      </c>
      <c r="H193" s="53"/>
      <c r="J193" s="11" t="s">
        <v>797</v>
      </c>
      <c r="K193" s="6"/>
      <c r="L193" s="6">
        <v>2084.21</v>
      </c>
    </row>
    <row r="194" spans="2:21" x14ac:dyDescent="0.25">
      <c r="B194" s="11">
        <v>17</v>
      </c>
      <c r="C194" t="s">
        <v>82</v>
      </c>
      <c r="D194" t="s">
        <v>378</v>
      </c>
      <c r="E194" s="6">
        <v>1249</v>
      </c>
      <c r="F194" s="52">
        <v>101.2820320256205</v>
      </c>
      <c r="G194" s="11">
        <v>6</v>
      </c>
      <c r="H194" s="53">
        <v>2</v>
      </c>
      <c r="J194" s="11" t="s">
        <v>797</v>
      </c>
      <c r="K194" s="6"/>
      <c r="L194" s="6">
        <v>141.69999999999999</v>
      </c>
    </row>
    <row r="195" spans="2:21" x14ac:dyDescent="0.25">
      <c r="B195" s="11">
        <v>17</v>
      </c>
      <c r="C195" t="s">
        <v>82</v>
      </c>
      <c r="D195" t="s">
        <v>379</v>
      </c>
      <c r="E195" s="6">
        <v>70</v>
      </c>
      <c r="F195" s="52">
        <v>79.999779040113424</v>
      </c>
      <c r="G195" s="11">
        <v>6</v>
      </c>
      <c r="H195" s="53">
        <v>1</v>
      </c>
      <c r="K195" s="6"/>
      <c r="L195" s="6">
        <v>6.2728056688486458</v>
      </c>
    </row>
    <row r="196" spans="2:21" x14ac:dyDescent="0.25">
      <c r="B196" s="11">
        <v>17</v>
      </c>
      <c r="C196" t="s">
        <v>82</v>
      </c>
      <c r="D196" t="s">
        <v>380</v>
      </c>
      <c r="E196" s="6">
        <v>735</v>
      </c>
      <c r="F196" s="52">
        <v>131.09309959183676</v>
      </c>
      <c r="H196" s="53">
        <v>5</v>
      </c>
      <c r="J196" s="11" t="s">
        <v>797</v>
      </c>
      <c r="K196" s="6"/>
      <c r="L196" s="6">
        <v>107.93</v>
      </c>
    </row>
    <row r="197" spans="2:21" x14ac:dyDescent="0.25">
      <c r="B197" s="11">
        <v>17</v>
      </c>
      <c r="C197" t="s">
        <v>82</v>
      </c>
      <c r="D197" t="s">
        <v>381</v>
      </c>
      <c r="E197" s="6">
        <v>99</v>
      </c>
      <c r="F197" s="52">
        <v>43.924611515151518</v>
      </c>
      <c r="H197" s="53"/>
      <c r="J197" s="11" t="s">
        <v>797</v>
      </c>
      <c r="K197" s="6"/>
      <c r="L197" s="6">
        <v>4.8710000000000004</v>
      </c>
    </row>
    <row r="198" spans="2:21" x14ac:dyDescent="0.25">
      <c r="B198" s="11">
        <v>17</v>
      </c>
      <c r="C198" t="s">
        <v>82</v>
      </c>
      <c r="D198" t="s">
        <v>16</v>
      </c>
      <c r="E198" s="6">
        <v>794.02027537580261</v>
      </c>
      <c r="F198" s="52">
        <v>79.999288022513227</v>
      </c>
      <c r="H198" s="54"/>
      <c r="K198" s="6"/>
      <c r="L198" s="6">
        <v>71.152722248846857</v>
      </c>
    </row>
    <row r="199" spans="2:21" ht="15.75" thickBot="1" x14ac:dyDescent="0.3">
      <c r="B199" s="36"/>
      <c r="C199" s="35"/>
      <c r="D199" s="59" t="s">
        <v>42</v>
      </c>
      <c r="E199" s="55">
        <v>28185</v>
      </c>
      <c r="F199" s="56"/>
      <c r="G199" s="57"/>
      <c r="H199" s="58"/>
      <c r="I199" s="57"/>
      <c r="J199" s="57"/>
      <c r="K199" s="55">
        <v>0</v>
      </c>
      <c r="L199" s="55">
        <v>3267.3544323506817</v>
      </c>
      <c r="N199" s="6"/>
      <c r="T199" s="6"/>
      <c r="U199" s="6"/>
    </row>
    <row r="200" spans="2:21" ht="15.75" thickTop="1" x14ac:dyDescent="0.25">
      <c r="B200" s="11">
        <v>19</v>
      </c>
      <c r="C200" t="s">
        <v>79</v>
      </c>
      <c r="D200" t="s">
        <v>16</v>
      </c>
      <c r="E200" s="6">
        <v>341.33333333333326</v>
      </c>
      <c r="F200" s="52">
        <v>79.999288022513213</v>
      </c>
      <c r="H200" s="54"/>
      <c r="K200" s="6"/>
      <c r="L200" s="6">
        <v>30.587123042223318</v>
      </c>
    </row>
    <row r="201" spans="2:21" x14ac:dyDescent="0.25">
      <c r="B201" s="11">
        <v>19</v>
      </c>
      <c r="C201" t="s">
        <v>81</v>
      </c>
      <c r="D201" t="s">
        <v>382</v>
      </c>
      <c r="E201" s="6">
        <v>259</v>
      </c>
      <c r="F201" s="52">
        <v>85.482440154440155</v>
      </c>
      <c r="G201" s="11">
        <v>6</v>
      </c>
      <c r="H201" s="53">
        <v>5</v>
      </c>
      <c r="K201" s="6"/>
      <c r="L201" s="6">
        <v>24.8</v>
      </c>
    </row>
    <row r="202" spans="2:21" x14ac:dyDescent="0.25">
      <c r="B202" s="11">
        <v>19</v>
      </c>
      <c r="C202" t="s">
        <v>81</v>
      </c>
      <c r="D202" t="s">
        <v>383</v>
      </c>
      <c r="E202" s="6">
        <v>60</v>
      </c>
      <c r="F202" s="52">
        <v>74.841370000000012</v>
      </c>
      <c r="G202" s="11">
        <v>6</v>
      </c>
      <c r="H202" s="53">
        <v>5</v>
      </c>
      <c r="K202" s="6"/>
      <c r="L202" s="6">
        <v>5.03</v>
      </c>
    </row>
    <row r="203" spans="2:21" x14ac:dyDescent="0.25">
      <c r="B203" s="11">
        <v>19</v>
      </c>
      <c r="C203" t="s">
        <v>81</v>
      </c>
      <c r="D203" t="s">
        <v>384</v>
      </c>
      <c r="E203" s="6">
        <v>346</v>
      </c>
      <c r="F203" s="52">
        <v>107.46938289017341</v>
      </c>
      <c r="H203" s="53"/>
      <c r="J203" s="11" t="s">
        <v>797</v>
      </c>
      <c r="K203" s="6"/>
      <c r="L203" s="6">
        <v>41.652000000000001</v>
      </c>
    </row>
    <row r="204" spans="2:21" x14ac:dyDescent="0.25">
      <c r="B204" s="11">
        <v>19</v>
      </c>
      <c r="C204" t="s">
        <v>81</v>
      </c>
      <c r="D204" t="s">
        <v>385</v>
      </c>
      <c r="E204" s="6">
        <v>2945</v>
      </c>
      <c r="F204" s="52">
        <v>174.5587102207131</v>
      </c>
      <c r="G204" s="11">
        <v>3</v>
      </c>
      <c r="H204" s="53">
        <v>4</v>
      </c>
      <c r="I204" s="11" t="s">
        <v>797</v>
      </c>
      <c r="J204" s="11" t="s">
        <v>797</v>
      </c>
      <c r="K204" s="6">
        <v>39.869999999999997</v>
      </c>
      <c r="L204" s="6">
        <v>535.97</v>
      </c>
    </row>
    <row r="205" spans="2:21" x14ac:dyDescent="0.25">
      <c r="B205" s="11">
        <v>19</v>
      </c>
      <c r="C205" t="s">
        <v>81</v>
      </c>
      <c r="D205" t="s">
        <v>386</v>
      </c>
      <c r="E205" s="6">
        <v>330</v>
      </c>
      <c r="F205" s="52">
        <v>79.999779040113424</v>
      </c>
      <c r="H205" s="53">
        <v>1</v>
      </c>
      <c r="K205" s="6"/>
      <c r="L205" s="6">
        <v>29.571798153143614</v>
      </c>
    </row>
    <row r="206" spans="2:21" x14ac:dyDescent="0.25">
      <c r="B206" s="11">
        <v>19</v>
      </c>
      <c r="C206" t="s">
        <v>81</v>
      </c>
      <c r="D206" t="s">
        <v>16</v>
      </c>
      <c r="E206" s="6">
        <v>170.66666666666663</v>
      </c>
      <c r="F206" s="52">
        <v>79.999288022513213</v>
      </c>
      <c r="H206" s="54"/>
      <c r="K206" s="6"/>
      <c r="L206" s="6">
        <v>15.293561521111659</v>
      </c>
    </row>
    <row r="207" spans="2:21" ht="15.75" thickBot="1" x14ac:dyDescent="0.3">
      <c r="B207" s="36"/>
      <c r="C207" s="35"/>
      <c r="D207" s="59" t="s">
        <v>42</v>
      </c>
      <c r="E207" s="55">
        <v>4452</v>
      </c>
      <c r="F207" s="56"/>
      <c r="G207" s="57"/>
      <c r="H207" s="58"/>
      <c r="I207" s="57"/>
      <c r="J207" s="57"/>
      <c r="K207" s="55">
        <v>39.869999999999997</v>
      </c>
      <c r="L207" s="55">
        <v>682.90448271647858</v>
      </c>
      <c r="N207" s="6"/>
      <c r="T207" s="6"/>
      <c r="U207" s="6"/>
    </row>
    <row r="208" spans="2:21" ht="15.75" thickTop="1" x14ac:dyDescent="0.25">
      <c r="B208" s="11">
        <v>21</v>
      </c>
      <c r="C208" t="s">
        <v>79</v>
      </c>
      <c r="D208" t="s">
        <v>387</v>
      </c>
      <c r="E208" s="6">
        <v>101</v>
      </c>
      <c r="F208" s="52">
        <v>82.73313267326732</v>
      </c>
      <c r="H208" s="53">
        <v>5</v>
      </c>
      <c r="K208" s="6"/>
      <c r="L208" s="6">
        <v>9.36</v>
      </c>
    </row>
    <row r="209" spans="2:21" x14ac:dyDescent="0.25">
      <c r="B209" s="11">
        <v>21</v>
      </c>
      <c r="C209" t="s">
        <v>79</v>
      </c>
      <c r="D209" t="s">
        <v>388</v>
      </c>
      <c r="E209" s="6">
        <v>332</v>
      </c>
      <c r="F209" s="52">
        <v>161.81450295180724</v>
      </c>
      <c r="H209" s="53"/>
      <c r="J209" s="11" t="s">
        <v>797</v>
      </c>
      <c r="K209" s="6"/>
      <c r="L209" s="6">
        <v>60.177</v>
      </c>
    </row>
    <row r="210" spans="2:21" x14ac:dyDescent="0.25">
      <c r="B210" s="11">
        <v>21</v>
      </c>
      <c r="C210" t="s">
        <v>79</v>
      </c>
      <c r="D210" t="s">
        <v>16</v>
      </c>
      <c r="E210" s="6">
        <v>224</v>
      </c>
      <c r="F210" s="52">
        <v>79.999288022513213</v>
      </c>
      <c r="H210" s="54"/>
      <c r="K210" s="6"/>
      <c r="L210" s="6">
        <v>20.072799496459062</v>
      </c>
    </row>
    <row r="211" spans="2:21" ht="15.75" thickBot="1" x14ac:dyDescent="0.3">
      <c r="B211" s="36"/>
      <c r="C211" s="35"/>
      <c r="D211" s="59" t="s">
        <v>42</v>
      </c>
      <c r="E211" s="55">
        <v>657</v>
      </c>
      <c r="F211" s="56"/>
      <c r="G211" s="57"/>
      <c r="H211" s="58"/>
      <c r="I211" s="57"/>
      <c r="J211" s="57"/>
      <c r="K211" s="55">
        <v>0</v>
      </c>
      <c r="L211" s="55">
        <v>89.609799496459061</v>
      </c>
      <c r="N211" s="6"/>
      <c r="T211" s="6"/>
      <c r="U211" s="6"/>
    </row>
    <row r="212" spans="2:21" ht="15.75" thickTop="1" x14ac:dyDescent="0.25">
      <c r="B212" s="11">
        <v>23</v>
      </c>
      <c r="C212" t="s">
        <v>80</v>
      </c>
      <c r="D212" t="s">
        <v>389</v>
      </c>
      <c r="E212" s="6">
        <v>2603</v>
      </c>
      <c r="F212" s="52">
        <v>113.4304537687284</v>
      </c>
      <c r="H212" s="53"/>
      <c r="J212" s="11" t="s">
        <v>797</v>
      </c>
      <c r="K212" s="6"/>
      <c r="L212" s="6">
        <v>330.73399999999998</v>
      </c>
    </row>
    <row r="213" spans="2:21" x14ac:dyDescent="0.25">
      <c r="B213" s="11">
        <v>23</v>
      </c>
      <c r="C213" t="s">
        <v>80</v>
      </c>
      <c r="D213" t="s">
        <v>390</v>
      </c>
      <c r="E213" s="6">
        <v>92</v>
      </c>
      <c r="F213" s="52">
        <v>79.999779040113424</v>
      </c>
      <c r="H213" s="53">
        <v>1</v>
      </c>
      <c r="K213" s="6"/>
      <c r="L213" s="6">
        <v>8.2442588790582203</v>
      </c>
    </row>
    <row r="214" spans="2:21" x14ac:dyDescent="0.25">
      <c r="B214" s="11">
        <v>23</v>
      </c>
      <c r="C214" t="s">
        <v>80</v>
      </c>
      <c r="D214" t="s">
        <v>391</v>
      </c>
      <c r="E214" s="6">
        <v>223</v>
      </c>
      <c r="F214" s="52">
        <v>79.999779040113424</v>
      </c>
      <c r="H214" s="53">
        <v>1</v>
      </c>
      <c r="K214" s="6"/>
      <c r="L214" s="6">
        <v>19.983366630760685</v>
      </c>
    </row>
    <row r="215" spans="2:21" x14ac:dyDescent="0.25">
      <c r="B215" s="11">
        <v>23</v>
      </c>
      <c r="C215" t="s">
        <v>80</v>
      </c>
      <c r="D215" t="s">
        <v>16</v>
      </c>
      <c r="E215" s="6">
        <v>567.7247870909905</v>
      </c>
      <c r="F215" s="52">
        <v>79.999288022513213</v>
      </c>
      <c r="H215" s="54"/>
      <c r="K215" s="6"/>
      <c r="L215" s="6">
        <v>50.874222412711433</v>
      </c>
    </row>
    <row r="216" spans="2:21" x14ac:dyDescent="0.25">
      <c r="B216" s="11">
        <v>23</v>
      </c>
      <c r="C216" t="s">
        <v>82</v>
      </c>
      <c r="D216" t="s">
        <v>392</v>
      </c>
      <c r="E216" s="6">
        <v>147</v>
      </c>
      <c r="F216" s="52">
        <v>29176.905209795921</v>
      </c>
      <c r="H216" s="53"/>
      <c r="J216" s="11" t="s">
        <v>797</v>
      </c>
      <c r="K216" s="6"/>
      <c r="L216" s="6">
        <v>4804.3159999999998</v>
      </c>
    </row>
    <row r="217" spans="2:21" x14ac:dyDescent="0.25">
      <c r="B217" s="11">
        <v>23</v>
      </c>
      <c r="C217" t="s">
        <v>82</v>
      </c>
      <c r="D217" t="s">
        <v>16</v>
      </c>
      <c r="E217" s="6">
        <v>545.2752129090095</v>
      </c>
      <c r="F217" s="52">
        <v>79.999288022513213</v>
      </c>
      <c r="H217" s="54"/>
      <c r="K217" s="6"/>
      <c r="L217" s="6">
        <v>48.862500085319517</v>
      </c>
    </row>
    <row r="218" spans="2:21" ht="15.75" thickBot="1" x14ac:dyDescent="0.3">
      <c r="B218" s="36"/>
      <c r="C218" s="35"/>
      <c r="D218" s="59" t="s">
        <v>42</v>
      </c>
      <c r="E218" s="55">
        <v>4178</v>
      </c>
      <c r="F218" s="56"/>
      <c r="G218" s="57"/>
      <c r="H218" s="58"/>
      <c r="I218" s="57"/>
      <c r="J218" s="57"/>
      <c r="K218" s="55">
        <v>0</v>
      </c>
      <c r="L218" s="55">
        <v>5263.0143480078505</v>
      </c>
      <c r="N218" s="6"/>
      <c r="T218" s="6"/>
      <c r="U218" s="6"/>
    </row>
    <row r="219" spans="2:21" ht="15.75" thickTop="1" x14ac:dyDescent="0.25">
      <c r="B219" s="11">
        <v>25</v>
      </c>
      <c r="C219" t="s">
        <v>81</v>
      </c>
      <c r="D219" t="s">
        <v>393</v>
      </c>
      <c r="E219" s="6">
        <v>3475</v>
      </c>
      <c r="F219" s="52">
        <v>422.00783188489208</v>
      </c>
      <c r="G219" s="11">
        <v>5</v>
      </c>
      <c r="H219" s="53">
        <v>4</v>
      </c>
      <c r="J219" s="11" t="s">
        <v>797</v>
      </c>
      <c r="K219" s="6"/>
      <c r="L219" s="6">
        <v>1642.67</v>
      </c>
    </row>
    <row r="220" spans="2:21" x14ac:dyDescent="0.25">
      <c r="B220" s="11">
        <v>25</v>
      </c>
      <c r="C220" t="s">
        <v>81</v>
      </c>
      <c r="D220" t="s">
        <v>394</v>
      </c>
      <c r="E220" s="6">
        <v>2699</v>
      </c>
      <c r="F220" s="52">
        <v>209.19025031493149</v>
      </c>
      <c r="H220" s="53">
        <v>4</v>
      </c>
      <c r="J220" s="11" t="s">
        <v>797</v>
      </c>
      <c r="K220" s="6"/>
      <c r="L220" s="6">
        <v>632.44000000000005</v>
      </c>
    </row>
    <row r="221" spans="2:21" x14ac:dyDescent="0.25">
      <c r="B221" s="11">
        <v>25</v>
      </c>
      <c r="C221" t="s">
        <v>81</v>
      </c>
      <c r="D221" t="s">
        <v>395</v>
      </c>
      <c r="E221" s="6">
        <v>48</v>
      </c>
      <c r="F221" s="52">
        <v>162.86925375000001</v>
      </c>
      <c r="H221" s="53">
        <v>5</v>
      </c>
      <c r="J221" s="11" t="s">
        <v>797</v>
      </c>
      <c r="K221" s="6"/>
      <c r="L221" s="6">
        <v>8.7569999999999997</v>
      </c>
    </row>
    <row r="222" spans="2:21" x14ac:dyDescent="0.25">
      <c r="B222" s="11">
        <v>25</v>
      </c>
      <c r="C222" t="s">
        <v>81</v>
      </c>
      <c r="D222" t="s">
        <v>396</v>
      </c>
      <c r="E222" s="6">
        <v>267</v>
      </c>
      <c r="F222" s="52">
        <v>135.08125842696629</v>
      </c>
      <c r="H222" s="53"/>
      <c r="J222" s="11" t="s">
        <v>797</v>
      </c>
      <c r="K222" s="6"/>
      <c r="L222" s="6">
        <v>40.4</v>
      </c>
    </row>
    <row r="223" spans="2:21" x14ac:dyDescent="0.25">
      <c r="B223" s="11">
        <v>25</v>
      </c>
      <c r="C223" t="s">
        <v>81</v>
      </c>
      <c r="D223" t="s">
        <v>16</v>
      </c>
      <c r="E223" s="6">
        <v>1657.0764371446621</v>
      </c>
      <c r="F223" s="52">
        <v>99.999110028141516</v>
      </c>
      <c r="H223" s="54"/>
      <c r="K223" s="6"/>
      <c r="L223" s="6">
        <v>185.61474929191706</v>
      </c>
    </row>
    <row r="224" spans="2:21" x14ac:dyDescent="0.25">
      <c r="B224" s="11">
        <v>25</v>
      </c>
      <c r="C224" t="s">
        <v>83</v>
      </c>
      <c r="D224" t="s">
        <v>397</v>
      </c>
      <c r="E224" s="6">
        <v>38936</v>
      </c>
      <c r="F224" s="52">
        <v>57.253532949455511</v>
      </c>
      <c r="H224" s="53"/>
      <c r="J224" s="11" t="s">
        <v>797</v>
      </c>
      <c r="K224" s="6"/>
      <c r="L224" s="6">
        <v>2497.058</v>
      </c>
    </row>
    <row r="225" spans="2:21" x14ac:dyDescent="0.25">
      <c r="B225" s="11">
        <v>25</v>
      </c>
      <c r="C225" t="s">
        <v>83</v>
      </c>
      <c r="D225" t="s">
        <v>398</v>
      </c>
      <c r="E225" s="6">
        <v>11326</v>
      </c>
      <c r="F225" s="52">
        <v>398.91904820766376</v>
      </c>
      <c r="H225" s="53"/>
      <c r="J225" s="11" t="s">
        <v>797</v>
      </c>
      <c r="K225" s="6"/>
      <c r="L225" s="6">
        <v>5061</v>
      </c>
    </row>
    <row r="226" spans="2:21" x14ac:dyDescent="0.25">
      <c r="B226" s="11">
        <v>25</v>
      </c>
      <c r="C226" t="s">
        <v>83</v>
      </c>
      <c r="D226" t="s">
        <v>399</v>
      </c>
      <c r="E226" s="6">
        <v>75</v>
      </c>
      <c r="F226" s="52">
        <v>99.99972380014178</v>
      </c>
      <c r="H226" s="53">
        <v>1</v>
      </c>
      <c r="K226" s="6"/>
      <c r="L226" s="6">
        <v>8.4010790207794361</v>
      </c>
    </row>
    <row r="227" spans="2:21" x14ac:dyDescent="0.25">
      <c r="B227" s="11">
        <v>25</v>
      </c>
      <c r="C227" t="s">
        <v>83</v>
      </c>
      <c r="D227" t="s">
        <v>400</v>
      </c>
      <c r="E227" s="6">
        <v>861</v>
      </c>
      <c r="F227" s="52">
        <v>99.99972380014178</v>
      </c>
      <c r="H227" s="53">
        <v>1</v>
      </c>
      <c r="K227" s="6"/>
      <c r="L227" s="6">
        <v>96.444387158547926</v>
      </c>
    </row>
    <row r="228" spans="2:21" x14ac:dyDescent="0.25">
      <c r="B228" s="11">
        <v>25</v>
      </c>
      <c r="C228" t="s">
        <v>83</v>
      </c>
      <c r="D228" t="s">
        <v>401</v>
      </c>
      <c r="E228" s="6">
        <v>192</v>
      </c>
      <c r="F228" s="52">
        <v>127.31309343750002</v>
      </c>
      <c r="H228" s="53"/>
      <c r="J228" s="11" t="s">
        <v>797</v>
      </c>
      <c r="K228" s="6"/>
      <c r="L228" s="6">
        <v>27.381</v>
      </c>
    </row>
    <row r="229" spans="2:21" x14ac:dyDescent="0.25">
      <c r="B229" s="11">
        <v>25</v>
      </c>
      <c r="C229" t="s">
        <v>83</v>
      </c>
      <c r="D229" t="s">
        <v>16</v>
      </c>
      <c r="E229" s="6">
        <v>14918.923562855338</v>
      </c>
      <c r="F229" s="52">
        <v>99.999110028141544</v>
      </c>
      <c r="H229" s="54"/>
      <c r="K229" s="6"/>
      <c r="L229" s="6">
        <v>1671.1192041305464</v>
      </c>
    </row>
    <row r="230" spans="2:21" ht="15.75" thickBot="1" x14ac:dyDescent="0.3">
      <c r="B230" s="36"/>
      <c r="C230" s="35"/>
      <c r="D230" s="59" t="s">
        <v>42</v>
      </c>
      <c r="E230" s="55">
        <v>74455</v>
      </c>
      <c r="F230" s="56"/>
      <c r="G230" s="57"/>
      <c r="H230" s="58"/>
      <c r="I230" s="57"/>
      <c r="J230" s="57"/>
      <c r="K230" s="55">
        <v>0</v>
      </c>
      <c r="L230" s="55">
        <v>11871.285419601791</v>
      </c>
      <c r="N230" s="6"/>
      <c r="T230" s="6"/>
      <c r="U230" s="6"/>
    </row>
    <row r="231" spans="2:21" ht="15.75" thickTop="1" x14ac:dyDescent="0.25">
      <c r="B231" s="11">
        <v>27</v>
      </c>
      <c r="C231" t="s">
        <v>81</v>
      </c>
      <c r="D231" t="s">
        <v>402</v>
      </c>
      <c r="E231" s="6">
        <v>120</v>
      </c>
      <c r="F231" s="52">
        <v>79.999779040113438</v>
      </c>
      <c r="G231" s="11">
        <v>9</v>
      </c>
      <c r="H231" s="53">
        <v>1</v>
      </c>
      <c r="K231" s="6"/>
      <c r="L231" s="6">
        <v>10.753381146597679</v>
      </c>
    </row>
    <row r="232" spans="2:21" x14ac:dyDescent="0.25">
      <c r="B232" s="11">
        <v>27</v>
      </c>
      <c r="C232" t="s">
        <v>81</v>
      </c>
      <c r="D232" t="s">
        <v>403</v>
      </c>
      <c r="E232" s="6">
        <v>2588</v>
      </c>
      <c r="F232" s="52">
        <v>142.55381325347759</v>
      </c>
      <c r="H232" s="53"/>
      <c r="J232" s="11" t="s">
        <v>797</v>
      </c>
      <c r="K232" s="6"/>
      <c r="L232" s="6">
        <v>413.255</v>
      </c>
    </row>
    <row r="233" spans="2:21" x14ac:dyDescent="0.25">
      <c r="B233" s="11">
        <v>27</v>
      </c>
      <c r="C233" t="s">
        <v>81</v>
      </c>
      <c r="D233" t="s">
        <v>404</v>
      </c>
      <c r="E233" s="6">
        <v>231</v>
      </c>
      <c r="F233" s="52">
        <v>69.061748051948058</v>
      </c>
      <c r="H233" s="53"/>
      <c r="J233" s="11" t="s">
        <v>797</v>
      </c>
      <c r="K233" s="6"/>
      <c r="L233" s="6">
        <v>17.87</v>
      </c>
    </row>
    <row r="234" spans="2:21" x14ac:dyDescent="0.25">
      <c r="B234" s="11">
        <v>27</v>
      </c>
      <c r="C234" t="s">
        <v>81</v>
      </c>
      <c r="D234" t="s">
        <v>405</v>
      </c>
      <c r="E234" s="6">
        <v>116</v>
      </c>
      <c r="F234" s="52">
        <v>68.917988793103447</v>
      </c>
      <c r="H234" s="53"/>
      <c r="J234" s="11" t="s">
        <v>797</v>
      </c>
      <c r="K234" s="6"/>
      <c r="L234" s="6">
        <v>8.9550000000000001</v>
      </c>
    </row>
    <row r="235" spans="2:21" x14ac:dyDescent="0.25">
      <c r="B235" s="11">
        <v>27</v>
      </c>
      <c r="C235" t="s">
        <v>81</v>
      </c>
      <c r="D235" t="s">
        <v>406</v>
      </c>
      <c r="E235" s="6">
        <v>30</v>
      </c>
      <c r="F235" s="52">
        <v>52.463353999999995</v>
      </c>
      <c r="H235" s="53"/>
      <c r="J235" s="11" t="s">
        <v>797</v>
      </c>
      <c r="K235" s="6"/>
      <c r="L235" s="6">
        <v>1.7629999999999999</v>
      </c>
    </row>
    <row r="236" spans="2:21" x14ac:dyDescent="0.25">
      <c r="B236" s="11">
        <v>27</v>
      </c>
      <c r="C236" t="s">
        <v>81</v>
      </c>
      <c r="D236" t="s">
        <v>407</v>
      </c>
      <c r="E236" s="6">
        <v>1400</v>
      </c>
      <c r="F236" s="52">
        <v>132.86266817142857</v>
      </c>
      <c r="H236" s="53"/>
      <c r="J236" s="11" t="s">
        <v>797</v>
      </c>
      <c r="K236" s="6"/>
      <c r="L236" s="6">
        <v>208.35599999999999</v>
      </c>
    </row>
    <row r="237" spans="2:21" x14ac:dyDescent="0.25">
      <c r="B237" s="11">
        <v>27</v>
      </c>
      <c r="C237" t="s">
        <v>81</v>
      </c>
      <c r="D237" t="s">
        <v>408</v>
      </c>
      <c r="E237" s="6">
        <v>895</v>
      </c>
      <c r="F237" s="52">
        <v>218.24749944134081</v>
      </c>
      <c r="H237" s="53"/>
      <c r="J237" s="11" t="s">
        <v>797</v>
      </c>
      <c r="K237" s="6"/>
      <c r="L237" s="6">
        <v>218.8</v>
      </c>
    </row>
    <row r="238" spans="2:21" x14ac:dyDescent="0.25">
      <c r="B238" s="11">
        <v>27</v>
      </c>
      <c r="C238" t="s">
        <v>81</v>
      </c>
      <c r="D238" t="s">
        <v>409</v>
      </c>
      <c r="E238" s="6">
        <v>536</v>
      </c>
      <c r="F238" s="52">
        <v>31.812190298507463</v>
      </c>
      <c r="H238" s="53"/>
      <c r="J238" s="11" t="s">
        <v>797</v>
      </c>
      <c r="K238" s="6"/>
      <c r="L238" s="6">
        <v>19.100000000000001</v>
      </c>
    </row>
    <row r="239" spans="2:21" x14ac:dyDescent="0.25">
      <c r="B239" s="11">
        <v>27</v>
      </c>
      <c r="C239" t="s">
        <v>81</v>
      </c>
      <c r="D239" t="s">
        <v>410</v>
      </c>
      <c r="E239" s="6">
        <v>25</v>
      </c>
      <c r="F239" s="52">
        <v>152.7299592</v>
      </c>
      <c r="H239" s="53"/>
      <c r="J239" s="11" t="s">
        <v>797</v>
      </c>
      <c r="K239" s="6"/>
      <c r="L239" s="6">
        <v>4.2770000000000001</v>
      </c>
    </row>
    <row r="240" spans="2:21" x14ac:dyDescent="0.25">
      <c r="B240" s="11">
        <v>27</v>
      </c>
      <c r="C240" t="s">
        <v>81</v>
      </c>
      <c r="D240" t="s">
        <v>411</v>
      </c>
      <c r="E240" s="6">
        <v>178</v>
      </c>
      <c r="F240" s="52">
        <v>252.4748966292135</v>
      </c>
      <c r="H240" s="53">
        <v>5</v>
      </c>
      <c r="K240" s="6"/>
      <c r="L240" s="6">
        <v>50.34</v>
      </c>
    </row>
    <row r="241" spans="2:12" x14ac:dyDescent="0.25">
      <c r="B241" s="11">
        <v>27</v>
      </c>
      <c r="C241" t="s">
        <v>81</v>
      </c>
      <c r="D241" t="s">
        <v>412</v>
      </c>
      <c r="E241" s="6">
        <v>288</v>
      </c>
      <c r="F241" s="52">
        <v>30.997916666666669</v>
      </c>
      <c r="H241" s="53">
        <v>2</v>
      </c>
      <c r="J241" s="11" t="s">
        <v>797</v>
      </c>
      <c r="K241" s="6"/>
      <c r="L241" s="6">
        <v>10</v>
      </c>
    </row>
    <row r="242" spans="2:12" x14ac:dyDescent="0.25">
      <c r="B242" s="11">
        <v>27</v>
      </c>
      <c r="C242" t="s">
        <v>81</v>
      </c>
      <c r="D242" t="s">
        <v>413</v>
      </c>
      <c r="E242" s="6">
        <v>145</v>
      </c>
      <c r="F242" s="52">
        <v>63.169051034482763</v>
      </c>
      <c r="H242" s="53">
        <v>5</v>
      </c>
      <c r="K242" s="6"/>
      <c r="L242" s="6">
        <v>10.26</v>
      </c>
    </row>
    <row r="243" spans="2:12" x14ac:dyDescent="0.25">
      <c r="B243" s="11">
        <v>27</v>
      </c>
      <c r="C243" t="s">
        <v>81</v>
      </c>
      <c r="D243" t="s">
        <v>414</v>
      </c>
      <c r="E243" s="6">
        <v>23</v>
      </c>
      <c r="F243" s="52">
        <v>79.999779040113424</v>
      </c>
      <c r="G243" s="11">
        <v>6</v>
      </c>
      <c r="H243" s="53">
        <v>1</v>
      </c>
      <c r="K243" s="6"/>
      <c r="L243" s="6">
        <v>2.0610647197645551</v>
      </c>
    </row>
    <row r="244" spans="2:12" x14ac:dyDescent="0.25">
      <c r="B244" s="11">
        <v>27</v>
      </c>
      <c r="C244" t="s">
        <v>81</v>
      </c>
      <c r="D244" t="s">
        <v>415</v>
      </c>
      <c r="E244" s="6">
        <v>117</v>
      </c>
      <c r="F244" s="52">
        <v>79.999779040113424</v>
      </c>
      <c r="H244" s="53">
        <v>1</v>
      </c>
      <c r="K244" s="6"/>
      <c r="L244" s="6">
        <v>10.484546617932736</v>
      </c>
    </row>
    <row r="245" spans="2:12" x14ac:dyDescent="0.25">
      <c r="B245" s="11">
        <v>27</v>
      </c>
      <c r="C245" t="s">
        <v>81</v>
      </c>
      <c r="D245" t="s">
        <v>416</v>
      </c>
      <c r="E245" s="6">
        <v>150</v>
      </c>
      <c r="F245" s="52">
        <v>115.09204080000001</v>
      </c>
      <c r="H245" s="53"/>
      <c r="J245" s="11" t="s">
        <v>797</v>
      </c>
      <c r="K245" s="6"/>
      <c r="L245" s="6">
        <v>19.518999999999998</v>
      </c>
    </row>
    <row r="246" spans="2:12" x14ac:dyDescent="0.25">
      <c r="B246" s="11">
        <v>27</v>
      </c>
      <c r="C246" t="s">
        <v>81</v>
      </c>
      <c r="D246" t="s">
        <v>417</v>
      </c>
      <c r="E246" s="6">
        <v>96</v>
      </c>
      <c r="F246" s="52">
        <v>155.42045437500002</v>
      </c>
      <c r="H246" s="53"/>
      <c r="J246" s="11" t="s">
        <v>797</v>
      </c>
      <c r="K246" s="6"/>
      <c r="L246" s="6">
        <v>16.713000000000001</v>
      </c>
    </row>
    <row r="247" spans="2:12" x14ac:dyDescent="0.25">
      <c r="B247" s="11">
        <v>27</v>
      </c>
      <c r="C247" t="s">
        <v>81</v>
      </c>
      <c r="D247" t="s">
        <v>418</v>
      </c>
      <c r="E247" s="6">
        <v>90</v>
      </c>
      <c r="F247" s="52">
        <v>60.507933333333327</v>
      </c>
      <c r="H247" s="53">
        <v>2</v>
      </c>
      <c r="J247" s="11" t="s">
        <v>797</v>
      </c>
      <c r="K247" s="6"/>
      <c r="L247" s="6">
        <v>6.1</v>
      </c>
    </row>
    <row r="248" spans="2:12" x14ac:dyDescent="0.25">
      <c r="B248" s="11">
        <v>27</v>
      </c>
      <c r="C248" t="s">
        <v>81</v>
      </c>
      <c r="D248" t="s">
        <v>419</v>
      </c>
      <c r="E248" s="6">
        <v>2739</v>
      </c>
      <c r="F248" s="52">
        <v>98.194229397590362</v>
      </c>
      <c r="G248" s="11">
        <v>9</v>
      </c>
      <c r="H248" s="53"/>
      <c r="J248" s="11" t="s">
        <v>797</v>
      </c>
      <c r="K248" s="6">
        <v>289.52800000000002</v>
      </c>
      <c r="L248" s="6">
        <v>11.74</v>
      </c>
    </row>
    <row r="249" spans="2:12" x14ac:dyDescent="0.25">
      <c r="B249" s="11">
        <v>27</v>
      </c>
      <c r="C249" t="s">
        <v>81</v>
      </c>
      <c r="D249" t="s">
        <v>420</v>
      </c>
      <c r="E249" s="6">
        <v>7649</v>
      </c>
      <c r="F249" s="52">
        <v>236.94783184730031</v>
      </c>
      <c r="G249" s="11">
        <v>9</v>
      </c>
      <c r="H249" s="53">
        <v>5</v>
      </c>
      <c r="I249" s="11" t="s">
        <v>797</v>
      </c>
      <c r="J249" s="11" t="s">
        <v>797</v>
      </c>
      <c r="K249" s="6">
        <v>597.16</v>
      </c>
      <c r="L249" s="6">
        <v>1433.01</v>
      </c>
    </row>
    <row r="250" spans="2:12" x14ac:dyDescent="0.25">
      <c r="B250" s="11">
        <v>27</v>
      </c>
      <c r="C250" t="s">
        <v>81</v>
      </c>
      <c r="D250" t="s">
        <v>421</v>
      </c>
      <c r="E250" s="6">
        <v>59</v>
      </c>
      <c r="F250" s="52">
        <v>79.999779040113424</v>
      </c>
      <c r="H250" s="53">
        <v>1</v>
      </c>
      <c r="K250" s="6"/>
      <c r="L250" s="6">
        <v>5.2870790637438585</v>
      </c>
    </row>
    <row r="251" spans="2:12" x14ac:dyDescent="0.25">
      <c r="B251" s="11">
        <v>27</v>
      </c>
      <c r="C251" t="s">
        <v>81</v>
      </c>
      <c r="D251" t="s">
        <v>422</v>
      </c>
      <c r="E251" s="6">
        <v>380</v>
      </c>
      <c r="F251" s="52">
        <v>30.425988789473685</v>
      </c>
      <c r="G251" s="11">
        <v>9</v>
      </c>
      <c r="H251" s="53"/>
      <c r="J251" s="11" t="s">
        <v>797</v>
      </c>
      <c r="K251" s="6"/>
      <c r="L251" s="6">
        <v>12.951000000000001</v>
      </c>
    </row>
    <row r="252" spans="2:12" x14ac:dyDescent="0.25">
      <c r="B252" s="11">
        <v>27</v>
      </c>
      <c r="C252" t="s">
        <v>81</v>
      </c>
      <c r="D252" t="s">
        <v>423</v>
      </c>
      <c r="E252" s="6">
        <v>42</v>
      </c>
      <c r="F252" s="52">
        <v>33.158914285714289</v>
      </c>
      <c r="H252" s="53">
        <v>5</v>
      </c>
      <c r="J252" s="11" t="s">
        <v>797</v>
      </c>
      <c r="K252" s="6"/>
      <c r="L252" s="6">
        <v>1.56</v>
      </c>
    </row>
    <row r="253" spans="2:12" x14ac:dyDescent="0.25">
      <c r="B253" s="11">
        <v>27</v>
      </c>
      <c r="C253" t="s">
        <v>81</v>
      </c>
      <c r="D253" t="s">
        <v>424</v>
      </c>
      <c r="E253" s="6">
        <v>91</v>
      </c>
      <c r="F253" s="52">
        <v>79.999779040113424</v>
      </c>
      <c r="H253" s="53">
        <v>1</v>
      </c>
      <c r="K253" s="6"/>
      <c r="L253" s="6">
        <v>8.1546473695032393</v>
      </c>
    </row>
    <row r="254" spans="2:12" x14ac:dyDescent="0.25">
      <c r="B254" s="11">
        <v>27</v>
      </c>
      <c r="C254" t="s">
        <v>81</v>
      </c>
      <c r="D254" t="s">
        <v>16</v>
      </c>
      <c r="E254" s="6">
        <v>637.92594786729865</v>
      </c>
      <c r="F254" s="52">
        <v>79.999288022513227</v>
      </c>
      <c r="H254" s="54"/>
      <c r="K254" s="6"/>
      <c r="L254" s="6">
        <v>57.164998415753928</v>
      </c>
    </row>
    <row r="255" spans="2:12" x14ac:dyDescent="0.25">
      <c r="B255" s="11">
        <v>27</v>
      </c>
      <c r="C255" t="s">
        <v>82</v>
      </c>
      <c r="D255" t="s">
        <v>425</v>
      </c>
      <c r="E255" s="6">
        <v>1130</v>
      </c>
      <c r="F255" s="52">
        <v>36.768247433628318</v>
      </c>
      <c r="H255" s="53"/>
      <c r="J255" s="11" t="s">
        <v>797</v>
      </c>
      <c r="K255" s="6"/>
      <c r="L255" s="6">
        <v>46.54</v>
      </c>
    </row>
    <row r="256" spans="2:12" x14ac:dyDescent="0.25">
      <c r="B256" s="11">
        <v>27</v>
      </c>
      <c r="C256" t="s">
        <v>82</v>
      </c>
      <c r="D256" t="s">
        <v>426</v>
      </c>
      <c r="E256" s="6">
        <v>88</v>
      </c>
      <c r="F256" s="52">
        <v>79.999779040113424</v>
      </c>
      <c r="H256" s="53">
        <v>1</v>
      </c>
      <c r="K256" s="6"/>
      <c r="L256" s="6">
        <v>7.8858128408382973</v>
      </c>
    </row>
    <row r="257" spans="2:21" x14ac:dyDescent="0.25">
      <c r="B257" s="11">
        <v>27</v>
      </c>
      <c r="C257" t="s">
        <v>82</v>
      </c>
      <c r="D257" t="s">
        <v>16</v>
      </c>
      <c r="E257" s="6">
        <v>425.07405213270147</v>
      </c>
      <c r="F257" s="52">
        <v>79.999288022513227</v>
      </c>
      <c r="H257" s="54"/>
      <c r="K257" s="6"/>
      <c r="L257" s="6">
        <v>38.091188480388851</v>
      </c>
    </row>
    <row r="258" spans="2:21" ht="15.75" thickBot="1" x14ac:dyDescent="0.3">
      <c r="B258" s="36"/>
      <c r="C258" s="35"/>
      <c r="D258" s="59" t="s">
        <v>42</v>
      </c>
      <c r="E258" s="55">
        <v>20269</v>
      </c>
      <c r="F258" s="56"/>
      <c r="G258" s="57"/>
      <c r="H258" s="58"/>
      <c r="I258" s="57"/>
      <c r="J258" s="57"/>
      <c r="K258" s="55">
        <v>886.68799999999999</v>
      </c>
      <c r="L258" s="55">
        <v>2650.9917186545235</v>
      </c>
      <c r="N258" s="6"/>
      <c r="T258" s="6"/>
      <c r="U258" s="6"/>
    </row>
    <row r="259" spans="2:21" ht="15.75" thickTop="1" x14ac:dyDescent="0.25">
      <c r="B259" s="11">
        <v>28</v>
      </c>
      <c r="C259" t="s">
        <v>82</v>
      </c>
      <c r="D259" t="s">
        <v>427</v>
      </c>
      <c r="E259" s="6">
        <v>19419</v>
      </c>
      <c r="F259" s="52">
        <v>180.07778094855553</v>
      </c>
      <c r="G259" s="11">
        <v>4</v>
      </c>
      <c r="H259" s="53">
        <v>4</v>
      </c>
      <c r="J259" s="11" t="s">
        <v>797</v>
      </c>
      <c r="K259" s="6">
        <v>4.2460000000000004</v>
      </c>
      <c r="L259" s="6">
        <v>3912.83</v>
      </c>
    </row>
    <row r="260" spans="2:21" ht="15.75" thickBot="1" x14ac:dyDescent="0.3">
      <c r="B260" s="36"/>
      <c r="C260" s="35"/>
      <c r="D260" s="59" t="s">
        <v>42</v>
      </c>
      <c r="E260" s="55">
        <v>19419</v>
      </c>
      <c r="F260" s="56"/>
      <c r="G260" s="57"/>
      <c r="H260" s="58"/>
      <c r="I260" s="57"/>
      <c r="J260" s="57"/>
      <c r="K260" s="55">
        <v>4.2460000000000004</v>
      </c>
      <c r="L260" s="55">
        <v>3912.83</v>
      </c>
      <c r="N260" s="6"/>
      <c r="T260" s="6"/>
      <c r="U260" s="6"/>
    </row>
    <row r="261" spans="2:21" ht="15.75" thickTop="1" x14ac:dyDescent="0.25">
      <c r="B261" s="11">
        <v>29</v>
      </c>
      <c r="C261" t="s">
        <v>82</v>
      </c>
      <c r="D261" t="s">
        <v>428</v>
      </c>
      <c r="E261" s="6">
        <v>1485</v>
      </c>
      <c r="F261" s="52">
        <v>337</v>
      </c>
      <c r="H261" s="53"/>
      <c r="J261" s="11" t="s">
        <v>797</v>
      </c>
      <c r="K261" s="6"/>
      <c r="L261" s="6">
        <v>560.89400000000001</v>
      </c>
    </row>
    <row r="262" spans="2:21" x14ac:dyDescent="0.25">
      <c r="B262" s="11">
        <v>29</v>
      </c>
      <c r="C262" t="s">
        <v>82</v>
      </c>
      <c r="D262" t="s">
        <v>429</v>
      </c>
      <c r="E262" s="6">
        <v>14806</v>
      </c>
      <c r="F262" s="52">
        <v>253.01033033905173</v>
      </c>
      <c r="H262" s="53">
        <v>4</v>
      </c>
      <c r="J262" s="11" t="s">
        <v>797</v>
      </c>
      <c r="K262" s="6"/>
      <c r="L262" s="6">
        <v>4196.1499999999996</v>
      </c>
    </row>
    <row r="263" spans="2:21" x14ac:dyDescent="0.25">
      <c r="B263" s="11">
        <v>29</v>
      </c>
      <c r="C263" t="s">
        <v>82</v>
      </c>
      <c r="D263" t="s">
        <v>430</v>
      </c>
      <c r="E263" s="6">
        <v>28</v>
      </c>
      <c r="F263" s="52">
        <v>99.99972380014178</v>
      </c>
      <c r="H263" s="53">
        <v>1</v>
      </c>
      <c r="K263" s="6"/>
      <c r="L263" s="6">
        <v>3.1364028344243229</v>
      </c>
    </row>
    <row r="264" spans="2:21" x14ac:dyDescent="0.25">
      <c r="B264" s="11">
        <v>29</v>
      </c>
      <c r="C264" t="s">
        <v>82</v>
      </c>
      <c r="D264" t="s">
        <v>431</v>
      </c>
      <c r="E264" s="6">
        <v>330</v>
      </c>
      <c r="F264" s="52">
        <v>99.999723800141766</v>
      </c>
      <c r="H264" s="53">
        <v>1</v>
      </c>
      <c r="K264" s="6"/>
      <c r="L264" s="6">
        <v>36.964747691429515</v>
      </c>
    </row>
    <row r="265" spans="2:21" x14ac:dyDescent="0.25">
      <c r="B265" s="11">
        <v>29</v>
      </c>
      <c r="C265" t="s">
        <v>82</v>
      </c>
      <c r="D265" t="s">
        <v>432</v>
      </c>
      <c r="E265" s="6">
        <v>99</v>
      </c>
      <c r="F265" s="52">
        <v>180.97372787878788</v>
      </c>
      <c r="H265" s="53"/>
      <c r="J265" s="11" t="s">
        <v>797</v>
      </c>
      <c r="K265" s="6"/>
      <c r="L265" s="6">
        <v>20.068999999999999</v>
      </c>
    </row>
    <row r="266" spans="2:21" x14ac:dyDescent="0.25">
      <c r="B266" s="11">
        <v>29</v>
      </c>
      <c r="C266" t="s">
        <v>82</v>
      </c>
      <c r="D266" t="s">
        <v>433</v>
      </c>
      <c r="E266" s="6">
        <v>80</v>
      </c>
      <c r="F266" s="52">
        <v>99.99972380014178</v>
      </c>
      <c r="H266" s="53">
        <v>1</v>
      </c>
      <c r="K266" s="6"/>
      <c r="L266" s="6">
        <v>8.9611509554980646</v>
      </c>
    </row>
    <row r="267" spans="2:21" x14ac:dyDescent="0.25">
      <c r="B267" s="11">
        <v>29</v>
      </c>
      <c r="C267" t="s">
        <v>82</v>
      </c>
      <c r="D267" t="s">
        <v>434</v>
      </c>
      <c r="E267" s="6">
        <v>17</v>
      </c>
      <c r="F267" s="52">
        <v>99.99972380014178</v>
      </c>
      <c r="H267" s="53">
        <v>1</v>
      </c>
      <c r="K267" s="6"/>
      <c r="L267" s="6">
        <v>1.9042445780433388</v>
      </c>
    </row>
    <row r="268" spans="2:21" x14ac:dyDescent="0.25">
      <c r="B268" s="11">
        <v>29</v>
      </c>
      <c r="C268" t="s">
        <v>82</v>
      </c>
      <c r="D268" t="s">
        <v>16</v>
      </c>
      <c r="E268" s="6">
        <v>8582</v>
      </c>
      <c r="F268" s="52">
        <v>99.999110028141516</v>
      </c>
      <c r="H268" s="54"/>
      <c r="K268" s="6"/>
      <c r="L268" s="6">
        <v>961.29891338510947</v>
      </c>
    </row>
    <row r="269" spans="2:21" ht="15.75" thickBot="1" x14ac:dyDescent="0.3">
      <c r="B269" s="36"/>
      <c r="C269" s="35"/>
      <c r="D269" s="59" t="s">
        <v>42</v>
      </c>
      <c r="E269" s="55">
        <v>25427</v>
      </c>
      <c r="F269" s="56"/>
      <c r="G269" s="57"/>
      <c r="H269" s="58"/>
      <c r="I269" s="57"/>
      <c r="J269" s="57"/>
      <c r="K269" s="55">
        <v>0</v>
      </c>
      <c r="L269" s="55">
        <v>5789.3784594445051</v>
      </c>
      <c r="N269" s="6"/>
      <c r="T269" s="6"/>
      <c r="U269" s="6"/>
    </row>
    <row r="270" spans="2:21" ht="15.75" thickTop="1" x14ac:dyDescent="0.25">
      <c r="B270" s="11">
        <v>31</v>
      </c>
      <c r="C270" t="s">
        <v>80</v>
      </c>
      <c r="D270" t="s">
        <v>435</v>
      </c>
      <c r="E270" s="6">
        <v>55.793363831699999</v>
      </c>
      <c r="F270" s="52">
        <v>69.999806660099253</v>
      </c>
      <c r="H270" s="53">
        <v>1</v>
      </c>
      <c r="K270" s="6"/>
      <c r="L270" s="6">
        <v>4.3747616115952841</v>
      </c>
    </row>
    <row r="271" spans="2:21" x14ac:dyDescent="0.25">
      <c r="B271" s="11">
        <v>31</v>
      </c>
      <c r="C271" t="s">
        <v>80</v>
      </c>
      <c r="D271" t="s">
        <v>436</v>
      </c>
      <c r="E271" s="6">
        <v>58</v>
      </c>
      <c r="F271" s="52">
        <v>79.999779040113424</v>
      </c>
      <c r="H271" s="53">
        <v>1</v>
      </c>
      <c r="K271" s="6"/>
      <c r="L271" s="6">
        <v>5.1974675541888775</v>
      </c>
    </row>
    <row r="272" spans="2:21" x14ac:dyDescent="0.25">
      <c r="B272" s="11">
        <v>31</v>
      </c>
      <c r="C272" t="s">
        <v>80</v>
      </c>
      <c r="D272" t="s">
        <v>437</v>
      </c>
      <c r="E272" s="6">
        <v>87</v>
      </c>
      <c r="F272" s="52">
        <v>69.999806660099253</v>
      </c>
      <c r="H272" s="53">
        <v>1</v>
      </c>
      <c r="K272" s="6"/>
      <c r="L272" s="6">
        <v>6.8216761648729021</v>
      </c>
    </row>
    <row r="273" spans="2:21" x14ac:dyDescent="0.25">
      <c r="B273" s="11">
        <v>31</v>
      </c>
      <c r="C273" t="s">
        <v>80</v>
      </c>
      <c r="D273" t="s">
        <v>438</v>
      </c>
      <c r="E273" s="6">
        <v>96</v>
      </c>
      <c r="F273" s="52">
        <v>69.999806660099253</v>
      </c>
      <c r="H273" s="53">
        <v>1</v>
      </c>
      <c r="K273" s="6"/>
      <c r="L273" s="6">
        <v>7.5273668026183751</v>
      </c>
    </row>
    <row r="274" spans="2:21" x14ac:dyDescent="0.25">
      <c r="B274" s="11">
        <v>31</v>
      </c>
      <c r="C274" t="s">
        <v>80</v>
      </c>
      <c r="D274" t="s">
        <v>439</v>
      </c>
      <c r="E274" s="6">
        <v>23070</v>
      </c>
      <c r="F274" s="52">
        <v>107.96047611963589</v>
      </c>
      <c r="H274" s="53">
        <v>4</v>
      </c>
      <c r="J274" s="11" t="s">
        <v>797</v>
      </c>
      <c r="K274" s="6"/>
      <c r="L274" s="6">
        <v>2789.8919999999998</v>
      </c>
    </row>
    <row r="275" spans="2:21" x14ac:dyDescent="0.25">
      <c r="B275" s="11">
        <v>31</v>
      </c>
      <c r="C275" t="s">
        <v>80</v>
      </c>
      <c r="D275" t="s">
        <v>440</v>
      </c>
      <c r="E275" s="6">
        <v>499</v>
      </c>
      <c r="F275" s="52">
        <v>69.999806660099253</v>
      </c>
      <c r="H275" s="53">
        <v>1</v>
      </c>
      <c r="K275" s="6"/>
      <c r="L275" s="6">
        <v>39.126625359443423</v>
      </c>
    </row>
    <row r="276" spans="2:21" x14ac:dyDescent="0.25">
      <c r="B276" s="11">
        <v>31</v>
      </c>
      <c r="C276" t="s">
        <v>80</v>
      </c>
      <c r="D276" t="s">
        <v>441</v>
      </c>
      <c r="E276" s="6">
        <v>95</v>
      </c>
      <c r="F276" s="52">
        <v>69.999806660099253</v>
      </c>
      <c r="H276" s="53">
        <v>1</v>
      </c>
      <c r="K276" s="6"/>
      <c r="L276" s="6">
        <v>7.4489567317577663</v>
      </c>
    </row>
    <row r="277" spans="2:21" x14ac:dyDescent="0.25">
      <c r="B277" s="11">
        <v>31</v>
      </c>
      <c r="C277" t="s">
        <v>80</v>
      </c>
      <c r="D277" t="s">
        <v>442</v>
      </c>
      <c r="E277" s="6">
        <v>54</v>
      </c>
      <c r="F277" s="52">
        <v>69.999806660099253</v>
      </c>
      <c r="H277" s="53">
        <v>1</v>
      </c>
      <c r="K277" s="6"/>
      <c r="L277" s="6">
        <v>4.2341438264728355</v>
      </c>
    </row>
    <row r="278" spans="2:21" x14ac:dyDescent="0.25">
      <c r="B278" s="11">
        <v>31</v>
      </c>
      <c r="C278" t="s">
        <v>80</v>
      </c>
      <c r="D278" t="s">
        <v>443</v>
      </c>
      <c r="E278" s="6">
        <v>50</v>
      </c>
      <c r="F278" s="52">
        <v>69.999806660099253</v>
      </c>
      <c r="H278" s="53">
        <v>1</v>
      </c>
      <c r="K278" s="6"/>
      <c r="L278" s="6">
        <v>3.9205035430304034</v>
      </c>
    </row>
    <row r="279" spans="2:21" x14ac:dyDescent="0.25">
      <c r="B279" s="11">
        <v>31</v>
      </c>
      <c r="C279" t="s">
        <v>80</v>
      </c>
      <c r="D279" t="s">
        <v>444</v>
      </c>
      <c r="E279" s="6">
        <v>317</v>
      </c>
      <c r="F279" s="52">
        <v>63.646447949526824</v>
      </c>
      <c r="H279" s="53"/>
      <c r="J279" s="11" t="s">
        <v>797</v>
      </c>
      <c r="K279" s="6"/>
      <c r="L279" s="6">
        <v>22.6</v>
      </c>
    </row>
    <row r="280" spans="2:21" x14ac:dyDescent="0.25">
      <c r="B280" s="11">
        <v>31</v>
      </c>
      <c r="C280" t="s">
        <v>80</v>
      </c>
      <c r="D280" t="s">
        <v>445</v>
      </c>
      <c r="E280" s="6">
        <v>250</v>
      </c>
      <c r="F280" s="52">
        <v>42.065908799999995</v>
      </c>
      <c r="H280" s="53">
        <v>5</v>
      </c>
      <c r="K280" s="6"/>
      <c r="L280" s="6">
        <v>11.78</v>
      </c>
    </row>
    <row r="281" spans="2:21" x14ac:dyDescent="0.25">
      <c r="B281" s="11">
        <v>31</v>
      </c>
      <c r="C281" t="s">
        <v>80</v>
      </c>
      <c r="D281" t="s">
        <v>446</v>
      </c>
      <c r="E281" s="6">
        <v>493</v>
      </c>
      <c r="F281" s="52">
        <v>69.999806660099253</v>
      </c>
      <c r="H281" s="53">
        <v>1</v>
      </c>
      <c r="K281" s="6"/>
      <c r="L281" s="6">
        <v>38.656164934279779</v>
      </c>
    </row>
    <row r="282" spans="2:21" x14ac:dyDescent="0.25">
      <c r="B282" s="11">
        <v>31</v>
      </c>
      <c r="C282" t="s">
        <v>80</v>
      </c>
      <c r="D282" t="s">
        <v>16</v>
      </c>
      <c r="E282" s="6">
        <v>27442.52072465964</v>
      </c>
      <c r="F282" s="52">
        <v>69.999377019699068</v>
      </c>
      <c r="H282" s="54"/>
      <c r="K282" s="6"/>
      <c r="L282" s="6">
        <v>2151.750844466857</v>
      </c>
    </row>
    <row r="283" spans="2:21" x14ac:dyDescent="0.25">
      <c r="B283" s="11">
        <v>31</v>
      </c>
      <c r="C283" t="s">
        <v>82</v>
      </c>
      <c r="D283" t="s">
        <v>447</v>
      </c>
      <c r="E283" s="6">
        <v>135</v>
      </c>
      <c r="F283" s="52">
        <v>79.999779040113424</v>
      </c>
      <c r="H283" s="53">
        <v>1</v>
      </c>
      <c r="K283" s="6"/>
      <c r="L283" s="6">
        <v>12.097553789922388</v>
      </c>
    </row>
    <row r="284" spans="2:21" x14ac:dyDescent="0.25">
      <c r="B284" s="11">
        <v>31</v>
      </c>
      <c r="C284" t="s">
        <v>82</v>
      </c>
      <c r="D284" t="s">
        <v>448</v>
      </c>
      <c r="E284" s="6">
        <v>1337</v>
      </c>
      <c r="F284" s="52">
        <v>63.180885774121165</v>
      </c>
      <c r="H284" s="53"/>
      <c r="J284" s="11" t="s">
        <v>797</v>
      </c>
      <c r="K284" s="6"/>
      <c r="L284" s="6">
        <v>94.622</v>
      </c>
    </row>
    <row r="285" spans="2:21" x14ac:dyDescent="0.25">
      <c r="B285" s="11">
        <v>31</v>
      </c>
      <c r="C285" t="s">
        <v>82</v>
      </c>
      <c r="D285" t="s">
        <v>449</v>
      </c>
      <c r="E285" s="6">
        <v>125</v>
      </c>
      <c r="F285" s="52">
        <v>85.703040000000001</v>
      </c>
      <c r="H285" s="53">
        <v>5</v>
      </c>
      <c r="J285" s="11" t="s">
        <v>797</v>
      </c>
      <c r="K285" s="6"/>
      <c r="L285" s="6">
        <v>12</v>
      </c>
    </row>
    <row r="286" spans="2:21" x14ac:dyDescent="0.25">
      <c r="B286" s="11">
        <v>31</v>
      </c>
      <c r="C286" t="s">
        <v>82</v>
      </c>
      <c r="D286" t="s">
        <v>16</v>
      </c>
      <c r="E286" s="6">
        <v>14624.349689400664</v>
      </c>
      <c r="F286" s="52">
        <v>69.999377019699068</v>
      </c>
      <c r="H286" s="54"/>
      <c r="K286" s="6"/>
      <c r="L286" s="6">
        <v>1146.6860901618861</v>
      </c>
    </row>
    <row r="287" spans="2:21" x14ac:dyDescent="0.25">
      <c r="B287" s="11">
        <v>31</v>
      </c>
      <c r="C287" t="s">
        <v>84</v>
      </c>
      <c r="D287" t="s">
        <v>16</v>
      </c>
      <c r="E287" s="6">
        <v>4113.1295859396987</v>
      </c>
      <c r="F287" s="52">
        <v>69.999377019699082</v>
      </c>
      <c r="H287" s="54"/>
      <c r="K287" s="6"/>
      <c r="L287" s="6">
        <v>322.5079120371924</v>
      </c>
    </row>
    <row r="288" spans="2:21" ht="15.75" thickBot="1" x14ac:dyDescent="0.3">
      <c r="B288" s="36"/>
      <c r="C288" s="35"/>
      <c r="D288" s="59" t="s">
        <v>42</v>
      </c>
      <c r="E288" s="55">
        <v>72901.793363831704</v>
      </c>
      <c r="F288" s="56"/>
      <c r="G288" s="57"/>
      <c r="H288" s="58"/>
      <c r="I288" s="57"/>
      <c r="J288" s="57"/>
      <c r="K288" s="55">
        <v>0</v>
      </c>
      <c r="L288" s="55">
        <v>6681.244066984118</v>
      </c>
      <c r="N288" s="6"/>
      <c r="T288" s="6"/>
      <c r="U288" s="6"/>
    </row>
    <row r="289" spans="2:12" ht="15.75" thickTop="1" x14ac:dyDescent="0.25">
      <c r="B289" s="11">
        <v>33</v>
      </c>
      <c r="C289" t="s">
        <v>79</v>
      </c>
      <c r="D289" t="s">
        <v>450</v>
      </c>
      <c r="E289" s="6">
        <v>242</v>
      </c>
      <c r="F289" s="52">
        <v>100.93126611570248</v>
      </c>
      <c r="H289" s="53">
        <v>5</v>
      </c>
      <c r="K289" s="6"/>
      <c r="L289" s="6">
        <v>27.36</v>
      </c>
    </row>
    <row r="290" spans="2:12" x14ac:dyDescent="0.25">
      <c r="B290" s="11">
        <v>33</v>
      </c>
      <c r="C290" t="s">
        <v>79</v>
      </c>
      <c r="D290" t="s">
        <v>451</v>
      </c>
      <c r="E290" s="6">
        <v>357</v>
      </c>
      <c r="F290" s="52">
        <v>79.999779040113424</v>
      </c>
      <c r="H290" s="53">
        <v>1</v>
      </c>
      <c r="K290" s="6"/>
      <c r="L290" s="6">
        <v>31.991308911128094</v>
      </c>
    </row>
    <row r="291" spans="2:12" x14ac:dyDescent="0.25">
      <c r="B291" s="11">
        <v>33</v>
      </c>
      <c r="C291" t="s">
        <v>79</v>
      </c>
      <c r="D291" t="s">
        <v>452</v>
      </c>
      <c r="E291" s="6">
        <v>225</v>
      </c>
      <c r="F291" s="52">
        <v>79.999779040113424</v>
      </c>
      <c r="H291" s="53">
        <v>1</v>
      </c>
      <c r="K291" s="6"/>
      <c r="L291" s="6">
        <v>20.162589649870647</v>
      </c>
    </row>
    <row r="292" spans="2:12" x14ac:dyDescent="0.25">
      <c r="B292" s="11">
        <v>33</v>
      </c>
      <c r="C292" t="s">
        <v>79</v>
      </c>
      <c r="D292" t="s">
        <v>453</v>
      </c>
      <c r="E292" s="6">
        <v>233</v>
      </c>
      <c r="F292" s="52">
        <v>79.999779040113424</v>
      </c>
      <c r="H292" s="53">
        <v>1</v>
      </c>
      <c r="K292" s="6"/>
      <c r="L292" s="6">
        <v>20.879481726310491</v>
      </c>
    </row>
    <row r="293" spans="2:12" x14ac:dyDescent="0.25">
      <c r="B293" s="11">
        <v>33</v>
      </c>
      <c r="C293" t="s">
        <v>79</v>
      </c>
      <c r="D293" t="s">
        <v>454</v>
      </c>
      <c r="E293" s="6">
        <v>90</v>
      </c>
      <c r="F293" s="52">
        <v>54.754719999999999</v>
      </c>
      <c r="H293" s="53">
        <v>2</v>
      </c>
      <c r="K293" s="6"/>
      <c r="L293" s="6">
        <v>5.52</v>
      </c>
    </row>
    <row r="294" spans="2:12" x14ac:dyDescent="0.25">
      <c r="B294" s="11">
        <v>33</v>
      </c>
      <c r="C294" t="s">
        <v>79</v>
      </c>
      <c r="D294" t="s">
        <v>455</v>
      </c>
      <c r="E294" s="6">
        <v>150</v>
      </c>
      <c r="F294" s="52">
        <v>79.999779040113424</v>
      </c>
      <c r="H294" s="53">
        <v>1</v>
      </c>
      <c r="K294" s="6"/>
      <c r="L294" s="6">
        <v>13.441726433247098</v>
      </c>
    </row>
    <row r="295" spans="2:12" x14ac:dyDescent="0.25">
      <c r="B295" s="11">
        <v>33</v>
      </c>
      <c r="C295" t="s">
        <v>79</v>
      </c>
      <c r="D295" t="s">
        <v>456</v>
      </c>
      <c r="E295" s="6">
        <v>1100</v>
      </c>
      <c r="F295" s="52">
        <v>79.999779040113424</v>
      </c>
      <c r="H295" s="53">
        <v>1</v>
      </c>
      <c r="K295" s="6"/>
      <c r="L295" s="6">
        <v>98.572660510478713</v>
      </c>
    </row>
    <row r="296" spans="2:12" x14ac:dyDescent="0.25">
      <c r="B296" s="11">
        <v>33</v>
      </c>
      <c r="C296" t="s">
        <v>79</v>
      </c>
      <c r="D296" t="s">
        <v>457</v>
      </c>
      <c r="E296" s="6">
        <v>82</v>
      </c>
      <c r="F296" s="52">
        <v>79.999779040113424</v>
      </c>
      <c r="H296" s="53">
        <v>1</v>
      </c>
      <c r="K296" s="6"/>
      <c r="L296" s="6">
        <v>7.3481437835084131</v>
      </c>
    </row>
    <row r="297" spans="2:12" x14ac:dyDescent="0.25">
      <c r="B297" s="11">
        <v>33</v>
      </c>
      <c r="C297" t="s">
        <v>79</v>
      </c>
      <c r="D297" t="s">
        <v>458</v>
      </c>
      <c r="E297" s="6">
        <v>51</v>
      </c>
      <c r="F297" s="52">
        <v>79.999779040113424</v>
      </c>
      <c r="H297" s="53">
        <v>1</v>
      </c>
      <c r="K297" s="6"/>
      <c r="L297" s="6">
        <v>4.5701869873040133</v>
      </c>
    </row>
    <row r="298" spans="2:12" x14ac:dyDescent="0.25">
      <c r="B298" s="11">
        <v>33</v>
      </c>
      <c r="C298" t="s">
        <v>79</v>
      </c>
      <c r="D298" t="s">
        <v>459</v>
      </c>
      <c r="E298" s="6">
        <v>250</v>
      </c>
      <c r="F298" s="52">
        <v>79.999779040113424</v>
      </c>
      <c r="H298" s="53">
        <v>1</v>
      </c>
      <c r="K298" s="6"/>
      <c r="L298" s="6">
        <v>22.402877388745164</v>
      </c>
    </row>
    <row r="299" spans="2:12" x14ac:dyDescent="0.25">
      <c r="B299" s="11">
        <v>33</v>
      </c>
      <c r="C299" t="s">
        <v>79</v>
      </c>
      <c r="D299" t="s">
        <v>460</v>
      </c>
      <c r="E299" s="6">
        <v>103</v>
      </c>
      <c r="F299" s="52">
        <v>66.478794174757283</v>
      </c>
      <c r="H299" s="53">
        <v>5</v>
      </c>
      <c r="J299" s="11" t="s">
        <v>797</v>
      </c>
      <c r="K299" s="6"/>
      <c r="L299" s="6">
        <v>7.67</v>
      </c>
    </row>
    <row r="300" spans="2:12" x14ac:dyDescent="0.25">
      <c r="B300" s="11">
        <v>33</v>
      </c>
      <c r="C300" t="s">
        <v>79</v>
      </c>
      <c r="D300" t="s">
        <v>461</v>
      </c>
      <c r="E300" s="6">
        <v>55.567745026300003</v>
      </c>
      <c r="F300" s="52">
        <v>79.999779040113438</v>
      </c>
      <c r="H300" s="53">
        <v>1</v>
      </c>
      <c r="K300" s="6"/>
      <c r="L300" s="6">
        <v>4.9795095143730119</v>
      </c>
    </row>
    <row r="301" spans="2:12" x14ac:dyDescent="0.25">
      <c r="B301" s="11">
        <v>33</v>
      </c>
      <c r="C301" t="s">
        <v>79</v>
      </c>
      <c r="D301" t="s">
        <v>462</v>
      </c>
      <c r="E301" s="6">
        <v>108</v>
      </c>
      <c r="F301" s="52">
        <v>52.903111111111116</v>
      </c>
      <c r="H301" s="53">
        <v>2</v>
      </c>
      <c r="K301" s="6"/>
      <c r="L301" s="6">
        <v>6.4</v>
      </c>
    </row>
    <row r="302" spans="2:12" x14ac:dyDescent="0.25">
      <c r="B302" s="11">
        <v>33</v>
      </c>
      <c r="C302" t="s">
        <v>79</v>
      </c>
      <c r="D302" t="s">
        <v>463</v>
      </c>
      <c r="E302" s="6">
        <v>300</v>
      </c>
      <c r="F302" s="52">
        <v>158.61014</v>
      </c>
      <c r="H302" s="53">
        <v>2</v>
      </c>
      <c r="K302" s="6"/>
      <c r="L302" s="6">
        <v>53.3</v>
      </c>
    </row>
    <row r="303" spans="2:12" x14ac:dyDescent="0.25">
      <c r="B303" s="11">
        <v>33</v>
      </c>
      <c r="C303" t="s">
        <v>79</v>
      </c>
      <c r="D303" t="s">
        <v>464</v>
      </c>
      <c r="E303" s="6">
        <v>98.568811568200005</v>
      </c>
      <c r="F303" s="52">
        <v>79.99977904011341</v>
      </c>
      <c r="H303" s="53">
        <v>1</v>
      </c>
      <c r="K303" s="6"/>
      <c r="L303" s="6">
        <v>8.8328999996668411</v>
      </c>
    </row>
    <row r="304" spans="2:12" x14ac:dyDescent="0.25">
      <c r="B304" s="11">
        <v>33</v>
      </c>
      <c r="C304" t="s">
        <v>79</v>
      </c>
      <c r="D304" t="s">
        <v>16</v>
      </c>
      <c r="E304" s="6">
        <v>744</v>
      </c>
      <c r="F304" s="52">
        <v>79.999288022513213</v>
      </c>
      <c r="H304" s="54"/>
      <c r="K304" s="6"/>
      <c r="L304" s="6">
        <v>66.67036975609615</v>
      </c>
    </row>
    <row r="305" spans="2:21" ht="15.75" thickBot="1" x14ac:dyDescent="0.3">
      <c r="B305" s="36"/>
      <c r="C305" s="35"/>
      <c r="D305" s="59" t="s">
        <v>42</v>
      </c>
      <c r="E305" s="55">
        <v>4189.1365565944998</v>
      </c>
      <c r="F305" s="56"/>
      <c r="G305" s="57"/>
      <c r="H305" s="58"/>
      <c r="I305" s="57"/>
      <c r="J305" s="57"/>
      <c r="K305" s="55">
        <v>0</v>
      </c>
      <c r="L305" s="55">
        <v>400.10175466072866</v>
      </c>
      <c r="N305" s="6"/>
      <c r="T305" s="6"/>
      <c r="U305" s="6"/>
    </row>
    <row r="306" spans="2:21" ht="15.75" thickTop="1" x14ac:dyDescent="0.25">
      <c r="B306" s="11">
        <v>35</v>
      </c>
      <c r="C306" t="s">
        <v>81</v>
      </c>
      <c r="D306" t="s">
        <v>465</v>
      </c>
      <c r="E306" s="6">
        <v>210</v>
      </c>
      <c r="F306" s="52">
        <v>99.99972380014178</v>
      </c>
      <c r="H306" s="53">
        <v>1</v>
      </c>
      <c r="K306" s="6"/>
      <c r="L306" s="6">
        <v>23.523021258182421</v>
      </c>
    </row>
    <row r="307" spans="2:21" x14ac:dyDescent="0.25">
      <c r="B307" s="11">
        <v>35</v>
      </c>
      <c r="C307" t="s">
        <v>81</v>
      </c>
      <c r="D307" t="s">
        <v>466</v>
      </c>
      <c r="E307" s="6">
        <v>275</v>
      </c>
      <c r="F307" s="52">
        <v>499.99861900070891</v>
      </c>
      <c r="H307" s="53">
        <v>3</v>
      </c>
      <c r="K307" s="6">
        <v>61.607912819049197</v>
      </c>
      <c r="L307" s="6">
        <v>92.411869228573792</v>
      </c>
    </row>
    <row r="308" spans="2:21" x14ac:dyDescent="0.25">
      <c r="B308" s="11">
        <v>35</v>
      </c>
      <c r="C308" t="s">
        <v>81</v>
      </c>
      <c r="D308" t="s">
        <v>467</v>
      </c>
      <c r="E308" s="6">
        <v>323</v>
      </c>
      <c r="F308" s="52">
        <v>379.05242897832818</v>
      </c>
      <c r="H308" s="53"/>
      <c r="J308" s="11" t="s">
        <v>797</v>
      </c>
      <c r="K308" s="6"/>
      <c r="L308" s="6">
        <v>137.14400000000001</v>
      </c>
    </row>
    <row r="309" spans="2:21" x14ac:dyDescent="0.25">
      <c r="B309" s="11">
        <v>35</v>
      </c>
      <c r="C309" t="s">
        <v>81</v>
      </c>
      <c r="D309" t="s">
        <v>468</v>
      </c>
      <c r="E309" s="6">
        <v>669</v>
      </c>
      <c r="F309" s="52">
        <v>73.080577130044844</v>
      </c>
      <c r="G309" s="11">
        <v>9</v>
      </c>
      <c r="H309" s="53"/>
      <c r="I309" s="11" t="s">
        <v>797</v>
      </c>
      <c r="K309" s="6">
        <v>54.765000000000001</v>
      </c>
      <c r="L309" s="6"/>
    </row>
    <row r="310" spans="2:21" x14ac:dyDescent="0.25">
      <c r="B310" s="11">
        <v>35</v>
      </c>
      <c r="C310" t="s">
        <v>81</v>
      </c>
      <c r="D310" t="s">
        <v>469</v>
      </c>
      <c r="E310" s="6">
        <v>114</v>
      </c>
      <c r="F310" s="52">
        <v>79.999779040113424</v>
      </c>
      <c r="H310" s="53">
        <v>1</v>
      </c>
      <c r="K310" s="6"/>
      <c r="L310" s="6">
        <v>10.215712089267795</v>
      </c>
    </row>
    <row r="311" spans="2:21" x14ac:dyDescent="0.25">
      <c r="B311" s="11">
        <v>35</v>
      </c>
      <c r="C311" t="s">
        <v>81</v>
      </c>
      <c r="D311" t="s">
        <v>470</v>
      </c>
      <c r="E311" s="6">
        <v>85</v>
      </c>
      <c r="F311" s="52">
        <v>99.999723800141794</v>
      </c>
      <c r="H311" s="53">
        <v>1</v>
      </c>
      <c r="J311" s="11" t="s">
        <v>797</v>
      </c>
      <c r="K311" s="6"/>
      <c r="L311" s="6">
        <v>9.5212228902166949</v>
      </c>
    </row>
    <row r="312" spans="2:21" x14ac:dyDescent="0.25">
      <c r="B312" s="11">
        <v>35</v>
      </c>
      <c r="C312" t="s">
        <v>81</v>
      </c>
      <c r="D312" t="s">
        <v>471</v>
      </c>
      <c r="E312" s="6">
        <v>137</v>
      </c>
      <c r="F312" s="52">
        <v>99.99972380014178</v>
      </c>
      <c r="H312" s="53">
        <v>1</v>
      </c>
      <c r="K312" s="6"/>
      <c r="L312" s="6">
        <v>15.345971011290436</v>
      </c>
    </row>
    <row r="313" spans="2:21" x14ac:dyDescent="0.25">
      <c r="B313" s="11">
        <v>35</v>
      </c>
      <c r="C313" t="s">
        <v>81</v>
      </c>
      <c r="D313" t="s">
        <v>472</v>
      </c>
      <c r="E313" s="6">
        <v>407</v>
      </c>
      <c r="F313" s="52">
        <v>39.701705159705163</v>
      </c>
      <c r="H313" s="53">
        <v>2</v>
      </c>
      <c r="I313" s="11" t="s">
        <v>797</v>
      </c>
      <c r="K313" s="6">
        <v>18.100000000000001</v>
      </c>
    </row>
    <row r="314" spans="2:21" x14ac:dyDescent="0.25">
      <c r="B314" s="11">
        <v>35</v>
      </c>
      <c r="C314" t="s">
        <v>81</v>
      </c>
      <c r="D314" t="s">
        <v>473</v>
      </c>
      <c r="E314" s="6">
        <v>107</v>
      </c>
      <c r="F314" s="52">
        <v>123.48179439252335</v>
      </c>
      <c r="H314" s="53"/>
      <c r="J314" s="11" t="s">
        <v>797</v>
      </c>
      <c r="K314" s="6"/>
      <c r="L314" s="6">
        <v>14.8</v>
      </c>
    </row>
    <row r="315" spans="2:21" x14ac:dyDescent="0.25">
      <c r="B315" s="11">
        <v>35</v>
      </c>
      <c r="C315" t="s">
        <v>81</v>
      </c>
      <c r="D315" t="s">
        <v>474</v>
      </c>
      <c r="E315" s="6">
        <v>46</v>
      </c>
      <c r="F315" s="52">
        <v>99.999723800141766</v>
      </c>
      <c r="H315" s="53">
        <v>1</v>
      </c>
      <c r="K315" s="6"/>
      <c r="L315" s="6">
        <v>5.152661799411387</v>
      </c>
    </row>
    <row r="316" spans="2:21" x14ac:dyDescent="0.25">
      <c r="B316" s="11">
        <v>35</v>
      </c>
      <c r="C316" t="s">
        <v>81</v>
      </c>
      <c r="D316" t="s">
        <v>475</v>
      </c>
      <c r="E316" s="6">
        <v>18</v>
      </c>
      <c r="F316" s="52">
        <v>99.99972380014178</v>
      </c>
      <c r="H316" s="53">
        <v>1</v>
      </c>
      <c r="K316" s="6"/>
      <c r="L316" s="6">
        <v>2.0162589649870646</v>
      </c>
    </row>
    <row r="317" spans="2:21" x14ac:dyDescent="0.25">
      <c r="B317" s="11">
        <v>35</v>
      </c>
      <c r="C317" t="s">
        <v>81</v>
      </c>
      <c r="D317" t="s">
        <v>476</v>
      </c>
      <c r="E317" s="6">
        <v>71</v>
      </c>
      <c r="F317" s="52">
        <v>99.99972380014178</v>
      </c>
      <c r="H317" s="53">
        <v>1</v>
      </c>
      <c r="J317" s="11" t="s">
        <v>797</v>
      </c>
      <c r="K317" s="6"/>
      <c r="L317" s="6">
        <v>7.953021473004533</v>
      </c>
    </row>
    <row r="318" spans="2:21" x14ac:dyDescent="0.25">
      <c r="B318" s="11">
        <v>35</v>
      </c>
      <c r="C318" t="s">
        <v>81</v>
      </c>
      <c r="D318" t="s">
        <v>477</v>
      </c>
      <c r="E318" s="6">
        <v>1090</v>
      </c>
      <c r="F318" s="52">
        <v>99.99972380014178</v>
      </c>
      <c r="H318" s="53">
        <v>1</v>
      </c>
      <c r="K318" s="6"/>
      <c r="L318" s="6">
        <v>122.09568176866114</v>
      </c>
    </row>
    <row r="319" spans="2:21" x14ac:dyDescent="0.25">
      <c r="B319" s="11">
        <v>35</v>
      </c>
      <c r="C319" t="s">
        <v>81</v>
      </c>
      <c r="D319" t="s">
        <v>478</v>
      </c>
      <c r="E319" s="6">
        <v>295</v>
      </c>
      <c r="F319" s="52">
        <v>99.99972380014178</v>
      </c>
      <c r="H319" s="53">
        <v>1</v>
      </c>
      <c r="K319" s="6"/>
      <c r="L319" s="6">
        <v>33.044244148399116</v>
      </c>
    </row>
    <row r="320" spans="2:21" x14ac:dyDescent="0.25">
      <c r="B320" s="11">
        <v>35</v>
      </c>
      <c r="C320" t="s">
        <v>81</v>
      </c>
      <c r="D320" t="s">
        <v>479</v>
      </c>
      <c r="E320" s="6">
        <v>73</v>
      </c>
      <c r="F320" s="52">
        <v>99.999723800141766</v>
      </c>
      <c r="H320" s="53">
        <v>1</v>
      </c>
      <c r="K320" s="6"/>
      <c r="L320" s="6">
        <v>8.1770502468919837</v>
      </c>
    </row>
    <row r="321" spans="2:12" x14ac:dyDescent="0.25">
      <c r="B321" s="11">
        <v>35</v>
      </c>
      <c r="C321" t="s">
        <v>81</v>
      </c>
      <c r="D321" t="s">
        <v>16</v>
      </c>
      <c r="E321" s="6">
        <v>2321.9056544337691</v>
      </c>
      <c r="F321" s="52">
        <v>99.99911002814153</v>
      </c>
      <c r="H321" s="54"/>
      <c r="K321" s="6"/>
      <c r="L321" s="6">
        <v>260.08452372289958</v>
      </c>
    </row>
    <row r="322" spans="2:12" x14ac:dyDescent="0.25">
      <c r="B322" s="11">
        <v>35</v>
      </c>
      <c r="C322" t="s">
        <v>82</v>
      </c>
      <c r="D322" t="s">
        <v>480</v>
      </c>
      <c r="E322" s="6">
        <v>50</v>
      </c>
      <c r="F322" s="52">
        <v>104.62912800000001</v>
      </c>
      <c r="H322" s="53">
        <v>5</v>
      </c>
      <c r="J322" s="11" t="s">
        <v>797</v>
      </c>
      <c r="K322" s="6"/>
      <c r="L322" s="6">
        <v>5.86</v>
      </c>
    </row>
    <row r="323" spans="2:12" x14ac:dyDescent="0.25">
      <c r="B323" s="11">
        <v>35</v>
      </c>
      <c r="C323" t="s">
        <v>82</v>
      </c>
      <c r="D323" t="s">
        <v>481</v>
      </c>
      <c r="E323" s="6">
        <v>31963</v>
      </c>
      <c r="F323" s="52">
        <v>140.42339627381659</v>
      </c>
      <c r="G323" s="11">
        <v>3</v>
      </c>
      <c r="H323" s="53"/>
      <c r="I323" s="11" t="s">
        <v>797</v>
      </c>
      <c r="J323" s="11" t="s">
        <v>797</v>
      </c>
      <c r="K323" s="6">
        <v>3348.1689999999999</v>
      </c>
      <c r="L323" s="6">
        <v>1679.4459999999999</v>
      </c>
    </row>
    <row r="324" spans="2:12" x14ac:dyDescent="0.25">
      <c r="B324" s="11">
        <v>35</v>
      </c>
      <c r="C324" t="s">
        <v>82</v>
      </c>
      <c r="D324" t="s">
        <v>482</v>
      </c>
      <c r="E324" s="6">
        <v>657</v>
      </c>
      <c r="F324" s="52">
        <v>126.41714748858446</v>
      </c>
      <c r="H324" s="53"/>
      <c r="J324" s="11" t="s">
        <v>797</v>
      </c>
      <c r="K324" s="6"/>
      <c r="L324" s="6">
        <v>93.034999999999997</v>
      </c>
    </row>
    <row r="325" spans="2:12" x14ac:dyDescent="0.25">
      <c r="B325" s="11">
        <v>35</v>
      </c>
      <c r="C325" t="s">
        <v>82</v>
      </c>
      <c r="D325" t="s">
        <v>483</v>
      </c>
      <c r="E325" s="6">
        <v>53</v>
      </c>
      <c r="F325" s="52">
        <v>149.99958570021269</v>
      </c>
      <c r="H325" s="53">
        <v>3</v>
      </c>
      <c r="K325" s="6"/>
      <c r="L325" s="6">
        <v>8.9051437620262028</v>
      </c>
    </row>
    <row r="326" spans="2:12" x14ac:dyDescent="0.25">
      <c r="B326" s="11">
        <v>35</v>
      </c>
      <c r="C326" t="s">
        <v>82</v>
      </c>
      <c r="D326" t="s">
        <v>484</v>
      </c>
      <c r="E326" s="6">
        <v>40</v>
      </c>
      <c r="F326" s="52">
        <v>99.99972380014178</v>
      </c>
      <c r="H326" s="53">
        <v>1</v>
      </c>
      <c r="K326" s="6"/>
      <c r="L326" s="6">
        <v>4.4805754777490323</v>
      </c>
    </row>
    <row r="327" spans="2:12" x14ac:dyDescent="0.25">
      <c r="B327" s="11">
        <v>35</v>
      </c>
      <c r="C327" t="s">
        <v>82</v>
      </c>
      <c r="D327" t="s">
        <v>485</v>
      </c>
      <c r="E327" s="6">
        <v>635</v>
      </c>
      <c r="F327" s="52">
        <v>73.717829763779534</v>
      </c>
      <c r="H327" s="53"/>
      <c r="I327" s="11" t="s">
        <v>797</v>
      </c>
      <c r="K327" s="6">
        <v>52.435000000000002</v>
      </c>
      <c r="L327" s="6"/>
    </row>
    <row r="328" spans="2:12" x14ac:dyDescent="0.25">
      <c r="B328" s="11">
        <v>35</v>
      </c>
      <c r="C328" t="s">
        <v>82</v>
      </c>
      <c r="D328" t="s">
        <v>486</v>
      </c>
      <c r="E328" s="6">
        <v>11</v>
      </c>
      <c r="F328" s="52">
        <v>99.999723800141766</v>
      </c>
      <c r="H328" s="53">
        <v>1</v>
      </c>
      <c r="K328" s="6"/>
      <c r="L328" s="6">
        <v>1.2321582563809839</v>
      </c>
    </row>
    <row r="329" spans="2:12" x14ac:dyDescent="0.25">
      <c r="B329" s="11">
        <v>35</v>
      </c>
      <c r="C329" t="s">
        <v>82</v>
      </c>
      <c r="D329" t="s">
        <v>487</v>
      </c>
      <c r="E329" s="6">
        <v>42</v>
      </c>
      <c r="F329" s="52">
        <v>94.205325714285721</v>
      </c>
      <c r="H329" s="53"/>
      <c r="J329" s="11" t="s">
        <v>797</v>
      </c>
      <c r="K329" s="6"/>
      <c r="L329" s="6">
        <v>4.4320000000000004</v>
      </c>
    </row>
    <row r="330" spans="2:12" x14ac:dyDescent="0.25">
      <c r="B330" s="11">
        <v>35</v>
      </c>
      <c r="C330" t="s">
        <v>82</v>
      </c>
      <c r="D330" t="s">
        <v>488</v>
      </c>
      <c r="E330" s="6">
        <v>208</v>
      </c>
      <c r="F330" s="52">
        <v>142.40919807692308</v>
      </c>
      <c r="H330" s="53"/>
      <c r="J330" s="11" t="s">
        <v>797</v>
      </c>
      <c r="K330" s="6"/>
      <c r="L330" s="6">
        <v>33.18</v>
      </c>
    </row>
    <row r="331" spans="2:12" x14ac:dyDescent="0.25">
      <c r="B331" s="11">
        <v>35</v>
      </c>
      <c r="C331" t="s">
        <v>82</v>
      </c>
      <c r="D331" t="s">
        <v>489</v>
      </c>
      <c r="E331" s="6">
        <v>44</v>
      </c>
      <c r="F331" s="52">
        <v>303.47073136363639</v>
      </c>
      <c r="H331" s="53"/>
      <c r="J331" s="11" t="s">
        <v>797</v>
      </c>
      <c r="K331" s="6"/>
      <c r="L331" s="6">
        <v>14.957000000000001</v>
      </c>
    </row>
    <row r="332" spans="2:12" x14ac:dyDescent="0.25">
      <c r="B332" s="11">
        <v>35</v>
      </c>
      <c r="C332" t="s">
        <v>82</v>
      </c>
      <c r="D332" t="s">
        <v>490</v>
      </c>
      <c r="E332" s="6">
        <v>16.644082296899999</v>
      </c>
      <c r="F332" s="52">
        <v>99.99972380014178</v>
      </c>
      <c r="H332" s="53">
        <v>1</v>
      </c>
      <c r="K332" s="6"/>
      <c r="L332" s="6">
        <v>1.8643766747281731</v>
      </c>
    </row>
    <row r="333" spans="2:12" x14ac:dyDescent="0.25">
      <c r="B333" s="11">
        <v>35</v>
      </c>
      <c r="C333" t="s">
        <v>82</v>
      </c>
      <c r="D333" t="s">
        <v>491</v>
      </c>
      <c r="E333" s="6">
        <v>340</v>
      </c>
      <c r="F333" s="52">
        <v>67.774720235294126</v>
      </c>
      <c r="H333" s="53"/>
      <c r="J333" s="11" t="s">
        <v>797</v>
      </c>
      <c r="K333" s="6"/>
      <c r="L333" s="6">
        <v>25.812000000000001</v>
      </c>
    </row>
    <row r="334" spans="2:12" x14ac:dyDescent="0.25">
      <c r="B334" s="11">
        <v>35</v>
      </c>
      <c r="C334" t="s">
        <v>82</v>
      </c>
      <c r="D334" t="s">
        <v>492</v>
      </c>
      <c r="E334" s="6">
        <v>3816</v>
      </c>
      <c r="F334" s="52">
        <v>110.97324350628932</v>
      </c>
      <c r="G334" s="11">
        <v>10</v>
      </c>
      <c r="H334" s="53"/>
      <c r="J334" s="11" t="s">
        <v>797</v>
      </c>
      <c r="K334" s="6"/>
      <c r="L334" s="6">
        <v>474.35300000000001</v>
      </c>
    </row>
    <row r="335" spans="2:12" x14ac:dyDescent="0.25">
      <c r="B335" s="11">
        <v>35</v>
      </c>
      <c r="C335" t="s">
        <v>82</v>
      </c>
      <c r="D335" t="s">
        <v>493</v>
      </c>
      <c r="E335" s="6">
        <v>73</v>
      </c>
      <c r="F335" s="52">
        <v>99.999723800141766</v>
      </c>
      <c r="H335" s="53">
        <v>1</v>
      </c>
      <c r="K335" s="6"/>
      <c r="L335" s="6">
        <v>8.1770502468919837</v>
      </c>
    </row>
    <row r="336" spans="2:12" x14ac:dyDescent="0.25">
      <c r="B336" s="11">
        <v>35</v>
      </c>
      <c r="C336" t="s">
        <v>82</v>
      </c>
      <c r="D336" t="s">
        <v>494</v>
      </c>
      <c r="E336" s="6">
        <v>102</v>
      </c>
      <c r="F336" s="52">
        <v>97.641249411764704</v>
      </c>
      <c r="H336" s="53"/>
      <c r="I336" s="11" t="s">
        <v>797</v>
      </c>
      <c r="K336" s="6">
        <v>11.156000000000001</v>
      </c>
      <c r="L336" s="6"/>
    </row>
    <row r="337" spans="2:21" x14ac:dyDescent="0.25">
      <c r="B337" s="11">
        <v>35</v>
      </c>
      <c r="C337" t="s">
        <v>82</v>
      </c>
      <c r="D337" t="s">
        <v>495</v>
      </c>
      <c r="E337" s="6">
        <v>1843</v>
      </c>
      <c r="F337" s="52">
        <v>68.948785458491599</v>
      </c>
      <c r="H337" s="53">
        <v>2</v>
      </c>
      <c r="I337" s="11" t="s">
        <v>797</v>
      </c>
      <c r="J337" s="11" t="s">
        <v>797</v>
      </c>
      <c r="K337" s="6">
        <v>42.53</v>
      </c>
      <c r="L337" s="6">
        <v>99.81</v>
      </c>
    </row>
    <row r="338" spans="2:21" x14ac:dyDescent="0.25">
      <c r="B338" s="11">
        <v>35</v>
      </c>
      <c r="C338" t="s">
        <v>82</v>
      </c>
      <c r="D338" t="s">
        <v>496</v>
      </c>
      <c r="E338" s="6">
        <v>70</v>
      </c>
      <c r="F338" s="52">
        <v>791.22270857142848</v>
      </c>
      <c r="H338" s="53"/>
      <c r="I338" s="11" t="s">
        <v>797</v>
      </c>
      <c r="K338" s="6">
        <v>62.04</v>
      </c>
      <c r="L338" s="6"/>
    </row>
    <row r="339" spans="2:21" x14ac:dyDescent="0.25">
      <c r="B339" s="11">
        <v>35</v>
      </c>
      <c r="C339" t="s">
        <v>82</v>
      </c>
      <c r="D339" t="s">
        <v>497</v>
      </c>
      <c r="E339" s="6">
        <v>10708.788994500001</v>
      </c>
      <c r="F339" s="52">
        <v>154.59309475755492</v>
      </c>
      <c r="H339" s="53"/>
      <c r="J339" s="11" t="s">
        <v>797</v>
      </c>
      <c r="K339" s="6"/>
      <c r="L339" s="6">
        <v>1854.4087099999999</v>
      </c>
    </row>
    <row r="340" spans="2:21" x14ac:dyDescent="0.25">
      <c r="B340" s="11">
        <v>35</v>
      </c>
      <c r="C340" t="s">
        <v>82</v>
      </c>
      <c r="D340" t="s">
        <v>498</v>
      </c>
      <c r="E340" s="6">
        <v>27</v>
      </c>
      <c r="F340" s="52">
        <v>270.59941333333336</v>
      </c>
      <c r="H340" s="53"/>
      <c r="J340" s="11" t="s">
        <v>797</v>
      </c>
      <c r="K340" s="6"/>
      <c r="L340" s="6">
        <v>8.1839999999999993</v>
      </c>
    </row>
    <row r="341" spans="2:21" x14ac:dyDescent="0.25">
      <c r="B341" s="11">
        <v>35</v>
      </c>
      <c r="C341" t="s">
        <v>82</v>
      </c>
      <c r="D341" t="s">
        <v>499</v>
      </c>
      <c r="E341" s="6">
        <v>102</v>
      </c>
      <c r="F341" s="52">
        <v>99.321701176470597</v>
      </c>
      <c r="H341" s="53"/>
      <c r="I341" s="11" t="s">
        <v>797</v>
      </c>
      <c r="K341" s="6">
        <v>11.348000000000001</v>
      </c>
      <c r="L341" s="6"/>
    </row>
    <row r="342" spans="2:21" x14ac:dyDescent="0.25">
      <c r="B342" s="11">
        <v>35</v>
      </c>
      <c r="C342" t="s">
        <v>82</v>
      </c>
      <c r="D342" t="s">
        <v>500</v>
      </c>
      <c r="E342" s="6">
        <v>22</v>
      </c>
      <c r="F342" s="52">
        <v>399.13593818181818</v>
      </c>
      <c r="H342" s="53">
        <v>5</v>
      </c>
      <c r="J342" s="11" t="s">
        <v>797</v>
      </c>
      <c r="K342" s="6"/>
      <c r="L342" s="6">
        <v>9.8360000000000003</v>
      </c>
    </row>
    <row r="343" spans="2:21" x14ac:dyDescent="0.25">
      <c r="B343" s="11">
        <v>35</v>
      </c>
      <c r="C343" t="s">
        <v>82</v>
      </c>
      <c r="D343" t="s">
        <v>501</v>
      </c>
      <c r="E343" s="6">
        <v>92</v>
      </c>
      <c r="F343" s="52">
        <v>85.392521739130444</v>
      </c>
      <c r="G343" s="11">
        <v>6</v>
      </c>
      <c r="H343" s="53">
        <v>2</v>
      </c>
      <c r="K343" s="6"/>
      <c r="L343" s="6">
        <v>8.8000000000000007</v>
      </c>
    </row>
    <row r="344" spans="2:21" x14ac:dyDescent="0.25">
      <c r="B344" s="11">
        <v>35</v>
      </c>
      <c r="C344" t="s">
        <v>82</v>
      </c>
      <c r="D344" t="s">
        <v>502</v>
      </c>
      <c r="E344" s="6">
        <v>290</v>
      </c>
      <c r="F344" s="52">
        <v>35.401758620689655</v>
      </c>
      <c r="H344" s="53">
        <v>2</v>
      </c>
      <c r="J344" s="11" t="s">
        <v>797</v>
      </c>
      <c r="K344" s="6"/>
      <c r="L344" s="6">
        <v>11.5</v>
      </c>
    </row>
    <row r="345" spans="2:21" x14ac:dyDescent="0.25">
      <c r="B345" s="11">
        <v>35</v>
      </c>
      <c r="C345" t="s">
        <v>82</v>
      </c>
      <c r="D345" t="s">
        <v>503</v>
      </c>
      <c r="E345" s="6">
        <v>74</v>
      </c>
      <c r="F345" s="52">
        <v>99.999723800141794</v>
      </c>
      <c r="H345" s="53">
        <v>1</v>
      </c>
      <c r="K345" s="6"/>
      <c r="L345" s="6">
        <v>8.2890646338357108</v>
      </c>
    </row>
    <row r="346" spans="2:21" x14ac:dyDescent="0.25">
      <c r="B346" s="11">
        <v>35</v>
      </c>
      <c r="C346" t="s">
        <v>82</v>
      </c>
      <c r="D346" t="s">
        <v>504</v>
      </c>
      <c r="E346" s="6">
        <v>35</v>
      </c>
      <c r="F346" s="52">
        <v>203.901816</v>
      </c>
      <c r="H346" s="53"/>
      <c r="I346" s="11" t="s">
        <v>797</v>
      </c>
      <c r="K346" s="6">
        <v>7.9939999999999998</v>
      </c>
      <c r="L346" s="6"/>
    </row>
    <row r="347" spans="2:21" x14ac:dyDescent="0.25">
      <c r="B347" s="11">
        <v>35</v>
      </c>
      <c r="C347" t="s">
        <v>82</v>
      </c>
      <c r="D347" t="s">
        <v>505</v>
      </c>
      <c r="E347" s="6">
        <v>371</v>
      </c>
      <c r="F347" s="52">
        <v>734.74186415094346</v>
      </c>
      <c r="H347" s="53"/>
      <c r="I347" s="11" t="s">
        <v>797</v>
      </c>
      <c r="J347" s="11" t="s">
        <v>797</v>
      </c>
      <c r="K347" s="6">
        <v>181.37</v>
      </c>
      <c r="L347" s="6">
        <v>123.97</v>
      </c>
    </row>
    <row r="348" spans="2:21" x14ac:dyDescent="0.25">
      <c r="B348" s="11">
        <v>35</v>
      </c>
      <c r="C348" t="s">
        <v>82</v>
      </c>
      <c r="D348" t="s">
        <v>506</v>
      </c>
      <c r="E348" s="6">
        <v>3305</v>
      </c>
      <c r="F348" s="52">
        <v>200</v>
      </c>
      <c r="H348" s="53"/>
      <c r="J348" s="11" t="s">
        <v>797</v>
      </c>
      <c r="K348" s="6"/>
      <c r="L348" s="6">
        <v>740</v>
      </c>
    </row>
    <row r="349" spans="2:21" x14ac:dyDescent="0.25">
      <c r="B349" s="11">
        <v>35</v>
      </c>
      <c r="C349" t="s">
        <v>82</v>
      </c>
      <c r="D349" t="s">
        <v>16</v>
      </c>
      <c r="E349" s="6">
        <v>6607.0943455662318</v>
      </c>
      <c r="F349" s="52">
        <v>99.999110028141544</v>
      </c>
      <c r="H349" s="54"/>
      <c r="K349" s="6"/>
      <c r="L349" s="6">
        <v>740.08303600859028</v>
      </c>
    </row>
    <row r="350" spans="2:21" ht="15.75" thickBot="1" x14ac:dyDescent="0.3">
      <c r="B350" s="36"/>
      <c r="C350" s="35"/>
      <c r="D350" s="59" t="s">
        <v>42</v>
      </c>
      <c r="E350" s="55">
        <v>67839.433076796893</v>
      </c>
      <c r="F350" s="56"/>
      <c r="G350" s="57"/>
      <c r="H350" s="58"/>
      <c r="I350" s="57"/>
      <c r="J350" s="57"/>
      <c r="K350" s="55">
        <v>3851.5149128190492</v>
      </c>
      <c r="L350" s="55">
        <v>6702.1003536619883</v>
      </c>
      <c r="N350" s="6"/>
      <c r="T350" s="6"/>
      <c r="U350" s="6"/>
    </row>
    <row r="351" spans="2:21" ht="15.75" thickTop="1" x14ac:dyDescent="0.25">
      <c r="B351" s="11">
        <v>37</v>
      </c>
      <c r="C351" t="s">
        <v>79</v>
      </c>
      <c r="D351" t="s">
        <v>507</v>
      </c>
      <c r="E351" s="6">
        <v>118</v>
      </c>
      <c r="F351" s="52">
        <v>102.58944406779662</v>
      </c>
      <c r="G351" s="11">
        <v>6</v>
      </c>
      <c r="H351" s="53">
        <v>5</v>
      </c>
      <c r="K351" s="6"/>
      <c r="L351" s="6">
        <v>13.56</v>
      </c>
    </row>
    <row r="352" spans="2:21" x14ac:dyDescent="0.25">
      <c r="B352" s="11">
        <v>37</v>
      </c>
      <c r="C352" t="s">
        <v>79</v>
      </c>
      <c r="D352" t="s">
        <v>508</v>
      </c>
      <c r="E352" s="6">
        <v>180</v>
      </c>
      <c r="F352" s="52">
        <v>216.53904666666665</v>
      </c>
      <c r="G352" s="11">
        <v>6</v>
      </c>
      <c r="H352" s="53">
        <v>5</v>
      </c>
      <c r="J352" s="11" t="s">
        <v>797</v>
      </c>
      <c r="K352" s="6"/>
      <c r="L352" s="6">
        <v>43.66</v>
      </c>
    </row>
    <row r="353" spans="2:21" x14ac:dyDescent="0.25">
      <c r="B353" s="11">
        <v>37</v>
      </c>
      <c r="C353" t="s">
        <v>79</v>
      </c>
      <c r="D353" t="s">
        <v>509</v>
      </c>
      <c r="E353" s="6">
        <v>1903</v>
      </c>
      <c r="F353" s="52">
        <v>192.29328744088281</v>
      </c>
      <c r="H353" s="53">
        <v>2</v>
      </c>
      <c r="J353" s="11" t="s">
        <v>797</v>
      </c>
      <c r="K353" s="6"/>
      <c r="L353" s="6">
        <v>409.9</v>
      </c>
    </row>
    <row r="354" spans="2:21" x14ac:dyDescent="0.25">
      <c r="B354" s="11">
        <v>37</v>
      </c>
      <c r="C354" t="s">
        <v>79</v>
      </c>
      <c r="D354" t="s">
        <v>510</v>
      </c>
      <c r="E354" s="6">
        <v>59</v>
      </c>
      <c r="F354" s="52">
        <v>79.999779040113424</v>
      </c>
      <c r="H354" s="53">
        <v>1</v>
      </c>
      <c r="K354" s="6"/>
      <c r="L354" s="6">
        <v>5.2870790637438585</v>
      </c>
    </row>
    <row r="355" spans="2:21" x14ac:dyDescent="0.25">
      <c r="B355" s="11">
        <v>37</v>
      </c>
      <c r="C355" t="s">
        <v>79</v>
      </c>
      <c r="D355" t="s">
        <v>511</v>
      </c>
      <c r="E355" s="6">
        <v>365</v>
      </c>
      <c r="F355" s="52">
        <v>113.43912657534247</v>
      </c>
      <c r="G355" s="11">
        <v>6</v>
      </c>
      <c r="H355" s="53">
        <v>5</v>
      </c>
      <c r="K355" s="6"/>
      <c r="L355" s="6">
        <v>46.38</v>
      </c>
    </row>
    <row r="356" spans="2:21" x14ac:dyDescent="0.25">
      <c r="B356" s="11">
        <v>37</v>
      </c>
      <c r="C356" t="s">
        <v>79</v>
      </c>
      <c r="D356" t="s">
        <v>512</v>
      </c>
      <c r="E356" s="6">
        <v>233</v>
      </c>
      <c r="F356" s="52">
        <v>262.84104721030042</v>
      </c>
      <c r="H356" s="53">
        <v>5</v>
      </c>
      <c r="J356" s="11" t="s">
        <v>797</v>
      </c>
      <c r="K356" s="6"/>
      <c r="L356" s="6">
        <v>68.599999999999994</v>
      </c>
    </row>
    <row r="357" spans="2:21" x14ac:dyDescent="0.25">
      <c r="B357" s="11">
        <v>37</v>
      </c>
      <c r="C357" t="s">
        <v>79</v>
      </c>
      <c r="D357" t="s">
        <v>513</v>
      </c>
      <c r="E357" s="6">
        <v>5240</v>
      </c>
      <c r="F357" s="52">
        <v>174.3050998167939</v>
      </c>
      <c r="G357" s="11">
        <v>4</v>
      </c>
      <c r="H357" s="53"/>
      <c r="J357" s="11" t="s">
        <v>797</v>
      </c>
      <c r="K357" s="6"/>
      <c r="L357" s="6">
        <v>1023.096</v>
      </c>
    </row>
    <row r="358" spans="2:21" x14ac:dyDescent="0.25">
      <c r="B358" s="11">
        <v>37</v>
      </c>
      <c r="C358" t="s">
        <v>79</v>
      </c>
      <c r="D358" t="s">
        <v>16</v>
      </c>
      <c r="E358" s="6">
        <v>62.689153439153436</v>
      </c>
      <c r="F358" s="52">
        <v>79.999288022513213</v>
      </c>
      <c r="H358" s="54"/>
      <c r="K358" s="6"/>
      <c r="L358" s="6">
        <v>5.6176196767271591</v>
      </c>
    </row>
    <row r="359" spans="2:21" x14ac:dyDescent="0.25">
      <c r="B359" s="11">
        <v>37</v>
      </c>
      <c r="C359" t="s">
        <v>81</v>
      </c>
      <c r="D359" t="s">
        <v>514</v>
      </c>
      <c r="E359" s="6">
        <v>77</v>
      </c>
      <c r="F359" s="52">
        <v>127.88210649350648</v>
      </c>
      <c r="H359" s="53"/>
      <c r="J359" s="11" t="s">
        <v>797</v>
      </c>
      <c r="K359" s="6"/>
      <c r="L359" s="6">
        <v>11.03</v>
      </c>
    </row>
    <row r="360" spans="2:21" x14ac:dyDescent="0.25">
      <c r="B360" s="11">
        <v>37</v>
      </c>
      <c r="C360" t="s">
        <v>81</v>
      </c>
      <c r="D360" t="s">
        <v>16</v>
      </c>
      <c r="E360" s="6">
        <v>508.31084656084658</v>
      </c>
      <c r="F360" s="52">
        <v>79.999288022513227</v>
      </c>
      <c r="H360" s="54"/>
      <c r="K360" s="6"/>
      <c r="L360" s="6">
        <v>45.550096896835889</v>
      </c>
    </row>
    <row r="361" spans="2:21" ht="15.75" thickBot="1" x14ac:dyDescent="0.3">
      <c r="B361" s="36"/>
      <c r="C361" s="35"/>
      <c r="D361" s="59" t="s">
        <v>42</v>
      </c>
      <c r="E361" s="55">
        <v>8746</v>
      </c>
      <c r="F361" s="56"/>
      <c r="G361" s="57"/>
      <c r="H361" s="58"/>
      <c r="I361" s="57"/>
      <c r="J361" s="57"/>
      <c r="K361" s="55">
        <v>0</v>
      </c>
      <c r="L361" s="55">
        <v>1672.6807956373068</v>
      </c>
      <c r="N361" s="6"/>
      <c r="T361" s="6"/>
      <c r="U361" s="6"/>
    </row>
    <row r="362" spans="2:21" ht="15.75" thickTop="1" x14ac:dyDescent="0.25">
      <c r="B362" s="11">
        <v>39</v>
      </c>
      <c r="C362" t="s">
        <v>82</v>
      </c>
      <c r="D362" t="s">
        <v>515</v>
      </c>
      <c r="E362" s="6">
        <v>218</v>
      </c>
      <c r="F362" s="52">
        <v>79.978037614678911</v>
      </c>
      <c r="H362" s="53">
        <v>5</v>
      </c>
      <c r="K362" s="6"/>
      <c r="L362" s="6">
        <v>19.53</v>
      </c>
    </row>
    <row r="363" spans="2:21" x14ac:dyDescent="0.25">
      <c r="B363" s="11">
        <v>39</v>
      </c>
      <c r="C363" t="s">
        <v>82</v>
      </c>
      <c r="D363" t="s">
        <v>516</v>
      </c>
      <c r="E363" s="6">
        <v>1283</v>
      </c>
      <c r="F363" s="52">
        <v>79.999779040113424</v>
      </c>
      <c r="H363" s="53">
        <v>1</v>
      </c>
      <c r="K363" s="6"/>
      <c r="L363" s="6">
        <v>114.97156675904017</v>
      </c>
    </row>
    <row r="364" spans="2:21" x14ac:dyDescent="0.25">
      <c r="B364" s="11">
        <v>39</v>
      </c>
      <c r="C364" t="s">
        <v>82</v>
      </c>
      <c r="D364" t="s">
        <v>517</v>
      </c>
      <c r="E364" s="6">
        <v>843</v>
      </c>
      <c r="F364" s="52">
        <v>62.828563131672595</v>
      </c>
      <c r="H364" s="53"/>
      <c r="J364" s="11" t="s">
        <v>797</v>
      </c>
      <c r="K364" s="6"/>
      <c r="L364" s="6">
        <v>59.328000000000003</v>
      </c>
    </row>
    <row r="365" spans="2:21" x14ac:dyDescent="0.25">
      <c r="B365" s="11">
        <v>39</v>
      </c>
      <c r="C365" t="s">
        <v>82</v>
      </c>
      <c r="D365" t="s">
        <v>518</v>
      </c>
      <c r="E365" s="6">
        <v>45</v>
      </c>
      <c r="F365" s="52">
        <v>79.999779040113424</v>
      </c>
      <c r="H365" s="53">
        <v>1</v>
      </c>
      <c r="K365" s="6"/>
      <c r="L365" s="6">
        <v>4.0325179299741292</v>
      </c>
    </row>
    <row r="366" spans="2:21" x14ac:dyDescent="0.25">
      <c r="B366" s="11">
        <v>39</v>
      </c>
      <c r="C366" t="s">
        <v>82</v>
      </c>
      <c r="D366" t="s">
        <v>519</v>
      </c>
      <c r="E366" s="6">
        <v>129</v>
      </c>
      <c r="F366" s="52">
        <v>124.56837209302326</v>
      </c>
      <c r="H366" s="53">
        <v>2</v>
      </c>
      <c r="K366" s="6"/>
      <c r="L366" s="6">
        <v>18</v>
      </c>
    </row>
    <row r="367" spans="2:21" x14ac:dyDescent="0.25">
      <c r="B367" s="11">
        <v>39</v>
      </c>
      <c r="C367" t="s">
        <v>82</v>
      </c>
      <c r="D367" t="s">
        <v>520</v>
      </c>
      <c r="E367" s="6">
        <v>32</v>
      </c>
      <c r="F367" s="52">
        <v>79.999779040113424</v>
      </c>
      <c r="H367" s="53">
        <v>1</v>
      </c>
      <c r="K367" s="6"/>
      <c r="L367" s="6">
        <v>2.8675683057593808</v>
      </c>
    </row>
    <row r="368" spans="2:21" x14ac:dyDescent="0.25">
      <c r="B368" s="11">
        <v>39</v>
      </c>
      <c r="C368" t="s">
        <v>82</v>
      </c>
      <c r="D368" t="s">
        <v>521</v>
      </c>
      <c r="E368" s="6">
        <v>13.6245947253</v>
      </c>
      <c r="F368" s="52">
        <v>79.999779040113424</v>
      </c>
      <c r="H368" s="53">
        <v>1</v>
      </c>
      <c r="K368" s="6"/>
      <c r="L368" s="6">
        <v>1.2209205004089598</v>
      </c>
    </row>
    <row r="369" spans="2:12" x14ac:dyDescent="0.25">
      <c r="B369" s="11">
        <v>39</v>
      </c>
      <c r="C369" t="s">
        <v>82</v>
      </c>
      <c r="D369" t="s">
        <v>522</v>
      </c>
      <c r="E369" s="6">
        <v>49</v>
      </c>
      <c r="F369" s="52">
        <v>51.924673469387756</v>
      </c>
      <c r="H369" s="53"/>
      <c r="J369" s="11" t="s">
        <v>797</v>
      </c>
      <c r="K369" s="6"/>
      <c r="L369" s="6">
        <v>2.85</v>
      </c>
    </row>
    <row r="370" spans="2:12" x14ac:dyDescent="0.25">
      <c r="B370" s="11">
        <v>39</v>
      </c>
      <c r="C370" t="s">
        <v>82</v>
      </c>
      <c r="D370" t="s">
        <v>523</v>
      </c>
      <c r="E370" s="6">
        <v>310</v>
      </c>
      <c r="F370" s="52">
        <v>39.888199161290324</v>
      </c>
      <c r="H370" s="53"/>
      <c r="J370" s="11" t="s">
        <v>797</v>
      </c>
      <c r="K370" s="6"/>
      <c r="L370" s="6">
        <v>8.4809999999999999</v>
      </c>
    </row>
    <row r="371" spans="2:12" x14ac:dyDescent="0.25">
      <c r="B371" s="11">
        <v>39</v>
      </c>
      <c r="C371" t="s">
        <v>82</v>
      </c>
      <c r="D371" t="s">
        <v>524</v>
      </c>
      <c r="E371" s="6">
        <v>245</v>
      </c>
      <c r="F371" s="52">
        <v>86.446382693877553</v>
      </c>
      <c r="H371" s="53"/>
      <c r="J371" s="11" t="s">
        <v>797</v>
      </c>
      <c r="K371" s="6"/>
      <c r="L371" s="6">
        <v>23.724</v>
      </c>
    </row>
    <row r="372" spans="2:12" x14ac:dyDescent="0.25">
      <c r="B372" s="11">
        <v>39</v>
      </c>
      <c r="C372" t="s">
        <v>82</v>
      </c>
      <c r="D372" t="s">
        <v>525</v>
      </c>
      <c r="E372" s="6">
        <v>60</v>
      </c>
      <c r="F372" s="52">
        <v>79.999779040113438</v>
      </c>
      <c r="H372" s="53">
        <v>1</v>
      </c>
      <c r="K372" s="6"/>
      <c r="L372" s="6">
        <v>5.3766905732988395</v>
      </c>
    </row>
    <row r="373" spans="2:12" x14ac:dyDescent="0.25">
      <c r="B373" s="11">
        <v>39</v>
      </c>
      <c r="C373" t="s">
        <v>82</v>
      </c>
      <c r="D373" t="s">
        <v>526</v>
      </c>
      <c r="E373" s="6">
        <v>80</v>
      </c>
      <c r="F373" s="52">
        <v>60.003287249999993</v>
      </c>
      <c r="H373" s="53"/>
      <c r="J373" s="11" t="s">
        <v>797</v>
      </c>
      <c r="K373" s="6"/>
      <c r="L373" s="6">
        <v>5.3769999999999998</v>
      </c>
    </row>
    <row r="374" spans="2:12" x14ac:dyDescent="0.25">
      <c r="B374" s="11">
        <v>39</v>
      </c>
      <c r="C374" t="s">
        <v>82</v>
      </c>
      <c r="D374" t="s">
        <v>527</v>
      </c>
      <c r="E374" s="6">
        <v>203</v>
      </c>
      <c r="F374" s="52">
        <v>79.999779040113424</v>
      </c>
      <c r="H374" s="53">
        <v>1</v>
      </c>
      <c r="K374" s="6"/>
      <c r="L374" s="6">
        <v>18.191136439661072</v>
      </c>
    </row>
    <row r="375" spans="2:12" x14ac:dyDescent="0.25">
      <c r="B375" s="11">
        <v>39</v>
      </c>
      <c r="C375" t="s">
        <v>82</v>
      </c>
      <c r="D375" t="s">
        <v>528</v>
      </c>
      <c r="E375" s="6">
        <v>71</v>
      </c>
      <c r="F375" s="52">
        <v>79.999779040113424</v>
      </c>
      <c r="H375" s="53">
        <v>1</v>
      </c>
      <c r="K375" s="6"/>
      <c r="L375" s="6">
        <v>6.3624171784036259</v>
      </c>
    </row>
    <row r="376" spans="2:12" x14ac:dyDescent="0.25">
      <c r="B376" s="11">
        <v>39</v>
      </c>
      <c r="C376" t="s">
        <v>82</v>
      </c>
      <c r="D376" t="s">
        <v>529</v>
      </c>
      <c r="E376" s="6">
        <v>1224</v>
      </c>
      <c r="F376" s="52">
        <v>133.25457352941177</v>
      </c>
      <c r="H376" s="53">
        <v>2</v>
      </c>
      <c r="K376" s="6">
        <v>182.7</v>
      </c>
      <c r="L376" s="6"/>
    </row>
    <row r="377" spans="2:12" x14ac:dyDescent="0.25">
      <c r="B377" s="11">
        <v>39</v>
      </c>
      <c r="C377" t="s">
        <v>82</v>
      </c>
      <c r="D377" t="s">
        <v>530</v>
      </c>
      <c r="E377" s="6">
        <v>92</v>
      </c>
      <c r="F377" s="52">
        <v>87.342964565217386</v>
      </c>
      <c r="H377" s="53">
        <v>2</v>
      </c>
      <c r="K377" s="6"/>
      <c r="L377" s="6">
        <v>9.0009999999999994</v>
      </c>
    </row>
    <row r="378" spans="2:12" x14ac:dyDescent="0.25">
      <c r="B378" s="11">
        <v>39</v>
      </c>
      <c r="C378" t="s">
        <v>82</v>
      </c>
      <c r="D378" t="s">
        <v>531</v>
      </c>
      <c r="E378" s="6">
        <v>1020</v>
      </c>
      <c r="F378" s="52">
        <v>51.276534941176472</v>
      </c>
      <c r="H378" s="53"/>
      <c r="J378" s="11" t="s">
        <v>797</v>
      </c>
      <c r="K378" s="6"/>
      <c r="L378" s="6">
        <v>58.585999999999999</v>
      </c>
    </row>
    <row r="379" spans="2:12" x14ac:dyDescent="0.25">
      <c r="B379" s="11">
        <v>39</v>
      </c>
      <c r="C379" t="s">
        <v>82</v>
      </c>
      <c r="D379" t="s">
        <v>532</v>
      </c>
      <c r="E379" s="6">
        <v>30</v>
      </c>
      <c r="F379" s="52">
        <v>79.999779040113438</v>
      </c>
      <c r="H379" s="53">
        <v>1</v>
      </c>
      <c r="K379" s="6">
        <v>2.6883452866494197</v>
      </c>
      <c r="L379" s="6"/>
    </row>
    <row r="380" spans="2:12" x14ac:dyDescent="0.25">
      <c r="B380" s="11">
        <v>39</v>
      </c>
      <c r="C380" t="s">
        <v>82</v>
      </c>
      <c r="D380" t="s">
        <v>533</v>
      </c>
      <c r="E380" s="6">
        <v>206</v>
      </c>
      <c r="F380" s="52">
        <v>79.999779040113424</v>
      </c>
      <c r="H380" s="53">
        <v>1</v>
      </c>
      <c r="K380" s="6"/>
      <c r="L380" s="6">
        <v>18.459970968326015</v>
      </c>
    </row>
    <row r="381" spans="2:12" x14ac:dyDescent="0.25">
      <c r="B381" s="11">
        <v>39</v>
      </c>
      <c r="C381" t="s">
        <v>82</v>
      </c>
      <c r="D381" t="s">
        <v>534</v>
      </c>
      <c r="E381" s="6">
        <v>45</v>
      </c>
      <c r="F381" s="52">
        <v>79.999779040113424</v>
      </c>
      <c r="H381" s="53">
        <v>1</v>
      </c>
      <c r="K381" s="6"/>
      <c r="L381" s="6">
        <v>4.0325179299741292</v>
      </c>
    </row>
    <row r="382" spans="2:12" x14ac:dyDescent="0.25">
      <c r="B382" s="11">
        <v>39</v>
      </c>
      <c r="C382" t="s">
        <v>82</v>
      </c>
      <c r="D382" t="s">
        <v>535</v>
      </c>
      <c r="E382" s="6">
        <v>15</v>
      </c>
      <c r="F382" s="52">
        <v>69.999806660099253</v>
      </c>
      <c r="H382" s="53">
        <v>1</v>
      </c>
      <c r="K382" s="6"/>
      <c r="L382" s="6">
        <v>1.176151062909121</v>
      </c>
    </row>
    <row r="383" spans="2:12" x14ac:dyDescent="0.25">
      <c r="B383" s="11">
        <v>39</v>
      </c>
      <c r="C383" t="s">
        <v>82</v>
      </c>
      <c r="D383" t="s">
        <v>536</v>
      </c>
      <c r="E383" s="6">
        <v>500</v>
      </c>
      <c r="F383" s="52">
        <v>79.999779040113424</v>
      </c>
      <c r="H383" s="53">
        <v>1</v>
      </c>
      <c r="K383" s="6"/>
      <c r="L383" s="6">
        <v>44.805754777490328</v>
      </c>
    </row>
    <row r="384" spans="2:12" x14ac:dyDescent="0.25">
      <c r="B384" s="11">
        <v>39</v>
      </c>
      <c r="C384" t="s">
        <v>82</v>
      </c>
      <c r="D384" t="s">
        <v>537</v>
      </c>
      <c r="E384" s="6">
        <v>220</v>
      </c>
      <c r="F384" s="52">
        <v>45.489160909090913</v>
      </c>
      <c r="H384" s="53"/>
      <c r="J384" s="11" t="s">
        <v>797</v>
      </c>
      <c r="K384" s="6"/>
      <c r="L384" s="6">
        <v>11.21</v>
      </c>
    </row>
    <row r="385" spans="2:12" x14ac:dyDescent="0.25">
      <c r="B385" s="11">
        <v>39</v>
      </c>
      <c r="C385" t="s">
        <v>82</v>
      </c>
      <c r="D385" t="s">
        <v>538</v>
      </c>
      <c r="E385" s="6">
        <v>825</v>
      </c>
      <c r="F385" s="52">
        <v>79.99977904011341</v>
      </c>
      <c r="H385" s="53">
        <v>1</v>
      </c>
      <c r="K385" s="6"/>
      <c r="L385" s="6">
        <v>73.929495382859031</v>
      </c>
    </row>
    <row r="386" spans="2:12" x14ac:dyDescent="0.25">
      <c r="B386" s="11">
        <v>39</v>
      </c>
      <c r="C386" t="s">
        <v>82</v>
      </c>
      <c r="D386" t="s">
        <v>539</v>
      </c>
      <c r="E386" s="6">
        <v>145</v>
      </c>
      <c r="F386" s="52">
        <v>78.807393103448277</v>
      </c>
      <c r="H386" s="53">
        <v>2</v>
      </c>
      <c r="J386" s="11" t="s">
        <v>797</v>
      </c>
      <c r="K386" s="6"/>
      <c r="L386" s="6">
        <v>12.8</v>
      </c>
    </row>
    <row r="387" spans="2:12" x14ac:dyDescent="0.25">
      <c r="B387" s="11">
        <v>39</v>
      </c>
      <c r="C387" t="s">
        <v>82</v>
      </c>
      <c r="D387" t="s">
        <v>540</v>
      </c>
      <c r="E387" s="6">
        <v>151</v>
      </c>
      <c r="F387" s="52">
        <v>101.80783311258277</v>
      </c>
      <c r="H387" s="53"/>
      <c r="J387" s="11" t="s">
        <v>797</v>
      </c>
      <c r="K387" s="6"/>
      <c r="L387" s="6">
        <v>17.22</v>
      </c>
    </row>
    <row r="388" spans="2:12" x14ac:dyDescent="0.25">
      <c r="B388" s="11">
        <v>39</v>
      </c>
      <c r="C388" t="s">
        <v>82</v>
      </c>
      <c r="D388" t="s">
        <v>541</v>
      </c>
      <c r="E388" s="6">
        <v>8092</v>
      </c>
      <c r="F388" s="52">
        <v>61.486750395452304</v>
      </c>
      <c r="H388" s="53"/>
      <c r="J388" s="11" t="s">
        <v>797</v>
      </c>
      <c r="K388" s="6"/>
      <c r="L388" s="6">
        <v>557.33000000000004</v>
      </c>
    </row>
    <row r="389" spans="2:12" x14ac:dyDescent="0.25">
      <c r="B389" s="11">
        <v>39</v>
      </c>
      <c r="C389" t="s">
        <v>82</v>
      </c>
      <c r="D389" t="s">
        <v>542</v>
      </c>
      <c r="E389" s="6">
        <v>75</v>
      </c>
      <c r="F389" s="52">
        <v>79.999779040113424</v>
      </c>
      <c r="H389" s="53">
        <v>1</v>
      </c>
      <c r="K389" s="6"/>
      <c r="L389" s="6">
        <v>6.7208632166235489</v>
      </c>
    </row>
    <row r="390" spans="2:12" x14ac:dyDescent="0.25">
      <c r="B390" s="11">
        <v>39</v>
      </c>
      <c r="C390" t="s">
        <v>82</v>
      </c>
      <c r="D390" t="s">
        <v>543</v>
      </c>
      <c r="E390" s="6">
        <v>670</v>
      </c>
      <c r="F390" s="52">
        <v>35.00606758208955</v>
      </c>
      <c r="H390" s="53"/>
      <c r="J390" s="11" t="s">
        <v>797</v>
      </c>
      <c r="K390" s="6"/>
      <c r="L390" s="6">
        <v>26.271999999999998</v>
      </c>
    </row>
    <row r="391" spans="2:12" x14ac:dyDescent="0.25">
      <c r="B391" s="11">
        <v>39</v>
      </c>
      <c r="C391" t="s">
        <v>82</v>
      </c>
      <c r="D391" t="s">
        <v>544</v>
      </c>
      <c r="E391" s="6">
        <v>28</v>
      </c>
      <c r="F391" s="52">
        <v>63.448307142857146</v>
      </c>
      <c r="H391" s="53">
        <v>5</v>
      </c>
      <c r="J391" s="11" t="s">
        <v>797</v>
      </c>
      <c r="K391" s="6"/>
      <c r="L391" s="6">
        <v>1.99</v>
      </c>
    </row>
    <row r="392" spans="2:12" x14ac:dyDescent="0.25">
      <c r="B392" s="11">
        <v>39</v>
      </c>
      <c r="C392" t="s">
        <v>82</v>
      </c>
      <c r="D392" t="s">
        <v>545</v>
      </c>
      <c r="E392" s="6">
        <v>238</v>
      </c>
      <c r="F392" s="52">
        <v>75.942916134453782</v>
      </c>
      <c r="H392" s="53"/>
      <c r="J392" s="11" t="s">
        <v>797</v>
      </c>
      <c r="K392" s="6"/>
      <c r="L392" s="6">
        <v>20.245999999999999</v>
      </c>
    </row>
    <row r="393" spans="2:12" x14ac:dyDescent="0.25">
      <c r="B393" s="11">
        <v>39</v>
      </c>
      <c r="C393" t="s">
        <v>82</v>
      </c>
      <c r="D393" t="s">
        <v>546</v>
      </c>
      <c r="E393" s="6">
        <v>124</v>
      </c>
      <c r="F393" s="52">
        <v>38.229430645161287</v>
      </c>
      <c r="H393" s="53">
        <v>5</v>
      </c>
      <c r="K393" s="6"/>
      <c r="L393" s="6">
        <v>5.31</v>
      </c>
    </row>
    <row r="394" spans="2:12" x14ac:dyDescent="0.25">
      <c r="B394" s="11">
        <v>39</v>
      </c>
      <c r="C394" t="s">
        <v>82</v>
      </c>
      <c r="D394" t="s">
        <v>547</v>
      </c>
      <c r="E394" s="6">
        <v>153</v>
      </c>
      <c r="F394" s="52">
        <v>99.99972380014178</v>
      </c>
      <c r="H394" s="53">
        <v>1</v>
      </c>
      <c r="K394" s="6"/>
      <c r="L394" s="6">
        <v>17.13820120239005</v>
      </c>
    </row>
    <row r="395" spans="2:12" x14ac:dyDescent="0.25">
      <c r="B395" s="11">
        <v>39</v>
      </c>
      <c r="C395" t="s">
        <v>82</v>
      </c>
      <c r="D395" t="s">
        <v>548</v>
      </c>
      <c r="E395" s="6">
        <v>251</v>
      </c>
      <c r="F395" s="52">
        <v>51.501494820717134</v>
      </c>
      <c r="H395" s="53"/>
      <c r="J395" s="11" t="s">
        <v>797</v>
      </c>
      <c r="K395" s="6"/>
      <c r="L395" s="6">
        <v>14.48</v>
      </c>
    </row>
    <row r="396" spans="2:12" x14ac:dyDescent="0.25">
      <c r="B396" s="11">
        <v>39</v>
      </c>
      <c r="C396" t="s">
        <v>82</v>
      </c>
      <c r="D396" t="s">
        <v>549</v>
      </c>
      <c r="E396" s="6">
        <v>225</v>
      </c>
      <c r="F396" s="52">
        <v>35.919889866666672</v>
      </c>
      <c r="H396" s="53"/>
      <c r="J396" s="11" t="s">
        <v>797</v>
      </c>
      <c r="K396" s="6"/>
      <c r="L396" s="6">
        <v>9.0530000000000008</v>
      </c>
    </row>
    <row r="397" spans="2:12" x14ac:dyDescent="0.25">
      <c r="B397" s="11">
        <v>39</v>
      </c>
      <c r="C397" t="s">
        <v>82</v>
      </c>
      <c r="D397" t="s">
        <v>550</v>
      </c>
      <c r="E397" s="6">
        <v>172</v>
      </c>
      <c r="F397" s="52">
        <v>34.775337209302329</v>
      </c>
      <c r="H397" s="53">
        <v>5</v>
      </c>
      <c r="J397" s="11" t="s">
        <v>797</v>
      </c>
      <c r="K397" s="6"/>
      <c r="L397" s="6">
        <v>6.7</v>
      </c>
    </row>
    <row r="398" spans="2:12" x14ac:dyDescent="0.25">
      <c r="B398" s="11">
        <v>39</v>
      </c>
      <c r="C398" t="s">
        <v>82</v>
      </c>
      <c r="D398" t="s">
        <v>551</v>
      </c>
      <c r="E398" s="6">
        <v>80</v>
      </c>
      <c r="F398" s="52">
        <v>71.977162500000006</v>
      </c>
      <c r="H398" s="53">
        <v>5</v>
      </c>
      <c r="K398" s="6"/>
      <c r="L398" s="6">
        <v>6.45</v>
      </c>
    </row>
    <row r="399" spans="2:12" x14ac:dyDescent="0.25">
      <c r="B399" s="11">
        <v>39</v>
      </c>
      <c r="C399" t="s">
        <v>82</v>
      </c>
      <c r="D399" t="s">
        <v>552</v>
      </c>
      <c r="E399" s="6">
        <v>369</v>
      </c>
      <c r="F399" s="52">
        <v>79.999779040113424</v>
      </c>
      <c r="H399" s="53">
        <v>1</v>
      </c>
      <c r="K399" s="6"/>
      <c r="L399" s="6">
        <v>33.066647025787859</v>
      </c>
    </row>
    <row r="400" spans="2:12" x14ac:dyDescent="0.25">
      <c r="B400" s="11">
        <v>39</v>
      </c>
      <c r="C400" t="s">
        <v>82</v>
      </c>
      <c r="D400" t="s">
        <v>553</v>
      </c>
      <c r="E400" s="6">
        <v>119</v>
      </c>
      <c r="F400" s="52">
        <v>55.439904201680669</v>
      </c>
      <c r="H400" s="53"/>
      <c r="J400" s="11" t="s">
        <v>797</v>
      </c>
      <c r="K400" s="6"/>
      <c r="L400" s="6">
        <v>7.39</v>
      </c>
    </row>
    <row r="401" spans="2:21" x14ac:dyDescent="0.25">
      <c r="B401" s="11">
        <v>39</v>
      </c>
      <c r="C401" t="s">
        <v>82</v>
      </c>
      <c r="D401" t="s">
        <v>554</v>
      </c>
      <c r="E401" s="6">
        <v>522</v>
      </c>
      <c r="F401" s="52">
        <v>44.637</v>
      </c>
      <c r="H401" s="53">
        <v>2</v>
      </c>
      <c r="K401" s="6"/>
      <c r="L401" s="6">
        <v>26.1</v>
      </c>
    </row>
    <row r="402" spans="2:21" x14ac:dyDescent="0.25">
      <c r="B402" s="11">
        <v>39</v>
      </c>
      <c r="C402" t="s">
        <v>82</v>
      </c>
      <c r="D402" t="s">
        <v>555</v>
      </c>
      <c r="E402" s="6">
        <v>84</v>
      </c>
      <c r="F402" s="52">
        <v>58.591376428571422</v>
      </c>
      <c r="H402" s="53"/>
      <c r="J402" s="11" t="s">
        <v>797</v>
      </c>
      <c r="K402" s="6"/>
      <c r="L402" s="6">
        <v>5.5129999999999999</v>
      </c>
    </row>
    <row r="403" spans="2:21" x14ac:dyDescent="0.25">
      <c r="B403" s="11">
        <v>39</v>
      </c>
      <c r="C403" t="s">
        <v>82</v>
      </c>
      <c r="D403" t="s">
        <v>556</v>
      </c>
      <c r="E403" s="6">
        <v>241.113785116</v>
      </c>
      <c r="F403" s="52">
        <v>79.999779040113424</v>
      </c>
      <c r="H403" s="53">
        <v>1</v>
      </c>
      <c r="K403" s="6"/>
      <c r="L403" s="6">
        <v>21.606570258759987</v>
      </c>
    </row>
    <row r="404" spans="2:21" x14ac:dyDescent="0.25">
      <c r="B404" s="11">
        <v>39</v>
      </c>
      <c r="C404" t="s">
        <v>82</v>
      </c>
      <c r="D404" t="s">
        <v>557</v>
      </c>
      <c r="E404" s="6">
        <v>582.760681998</v>
      </c>
      <c r="F404" s="52">
        <v>56.048184767743308</v>
      </c>
      <c r="H404" s="53"/>
      <c r="J404" s="11" t="s">
        <v>797</v>
      </c>
      <c r="K404" s="6"/>
      <c r="L404" s="6">
        <v>36.587000000000003</v>
      </c>
    </row>
    <row r="405" spans="2:21" x14ac:dyDescent="0.25">
      <c r="B405" s="11">
        <v>39</v>
      </c>
      <c r="C405" t="s">
        <v>82</v>
      </c>
      <c r="D405" t="s">
        <v>558</v>
      </c>
      <c r="E405" s="6">
        <v>43.681335833699997</v>
      </c>
      <c r="F405" s="52">
        <v>79.999779040113424</v>
      </c>
      <c r="H405" s="53">
        <v>1</v>
      </c>
      <c r="K405" s="6"/>
      <c r="L405" s="6">
        <v>3.914350443435926</v>
      </c>
    </row>
    <row r="406" spans="2:21" x14ac:dyDescent="0.25">
      <c r="B406" s="11">
        <v>39</v>
      </c>
      <c r="C406" t="s">
        <v>82</v>
      </c>
      <c r="D406" t="s">
        <v>16</v>
      </c>
      <c r="E406" s="6">
        <v>19385.782725005669</v>
      </c>
      <c r="F406" s="52">
        <v>79.999288022513213</v>
      </c>
      <c r="H406" s="54"/>
      <c r="K406" s="6"/>
      <c r="L406" s="6">
        <v>1737.173793397136</v>
      </c>
    </row>
    <row r="407" spans="2:21" x14ac:dyDescent="0.25">
      <c r="B407" s="11">
        <v>39</v>
      </c>
      <c r="C407" t="s">
        <v>84</v>
      </c>
      <c r="D407" t="s">
        <v>559</v>
      </c>
      <c r="E407" s="6">
        <v>51</v>
      </c>
      <c r="F407" s="52">
        <v>88.048670588235296</v>
      </c>
      <c r="H407" s="53">
        <v>5</v>
      </c>
      <c r="J407" s="11" t="s">
        <v>797</v>
      </c>
      <c r="K407" s="6"/>
      <c r="L407" s="6">
        <v>5.03</v>
      </c>
    </row>
    <row r="408" spans="2:21" x14ac:dyDescent="0.25">
      <c r="B408" s="11">
        <v>39</v>
      </c>
      <c r="C408" t="s">
        <v>84</v>
      </c>
      <c r="D408" t="s">
        <v>560</v>
      </c>
      <c r="E408" s="6">
        <v>124</v>
      </c>
      <c r="F408" s="52">
        <v>88.554048387096785</v>
      </c>
      <c r="H408" s="53">
        <v>2</v>
      </c>
      <c r="K408" s="6">
        <v>12.3</v>
      </c>
      <c r="L408" s="6"/>
    </row>
    <row r="409" spans="2:21" x14ac:dyDescent="0.25">
      <c r="B409" s="11">
        <v>39</v>
      </c>
      <c r="C409" t="s">
        <v>84</v>
      </c>
      <c r="D409" t="s">
        <v>561</v>
      </c>
      <c r="E409" s="6">
        <v>83</v>
      </c>
      <c r="F409" s="52">
        <v>79.999779040113424</v>
      </c>
      <c r="H409" s="53">
        <v>1</v>
      </c>
      <c r="K409" s="6"/>
      <c r="L409" s="6">
        <v>7.4377552930633941</v>
      </c>
    </row>
    <row r="410" spans="2:21" x14ac:dyDescent="0.25">
      <c r="B410" s="11">
        <v>39</v>
      </c>
      <c r="C410" t="s">
        <v>84</v>
      </c>
      <c r="D410" t="s">
        <v>16</v>
      </c>
      <c r="E410" s="6">
        <v>595.21727499433234</v>
      </c>
      <c r="F410" s="52">
        <v>79.999288022513227</v>
      </c>
      <c r="H410" s="54"/>
      <c r="K410" s="6"/>
      <c r="L410" s="6">
        <v>53.337843829419505</v>
      </c>
    </row>
    <row r="411" spans="2:21" ht="15.75" thickBot="1" x14ac:dyDescent="0.3">
      <c r="B411" s="36"/>
      <c r="C411" s="35"/>
      <c r="D411" s="59" t="s">
        <v>42</v>
      </c>
      <c r="E411" s="55">
        <v>40363.180397673001</v>
      </c>
      <c r="F411" s="56"/>
      <c r="G411" s="57"/>
      <c r="H411" s="58"/>
      <c r="I411" s="57"/>
      <c r="J411" s="57"/>
      <c r="K411" s="55">
        <v>197.68834528664942</v>
      </c>
      <c r="L411" s="55">
        <v>3150.3807324747213</v>
      </c>
      <c r="N411" s="6"/>
      <c r="T411" s="6"/>
      <c r="U411" s="6"/>
    </row>
    <row r="412" spans="2:21" ht="15.75" thickTop="1" x14ac:dyDescent="0.25">
      <c r="B412" s="11">
        <v>41</v>
      </c>
      <c r="C412" t="s">
        <v>81</v>
      </c>
      <c r="D412" t="s">
        <v>16</v>
      </c>
      <c r="E412" s="6">
        <v>134.10885805763073</v>
      </c>
      <c r="F412" s="52">
        <v>99.99911002814153</v>
      </c>
      <c r="H412" s="54"/>
      <c r="K412" s="6"/>
      <c r="L412" s="6">
        <v>15.021987826394586</v>
      </c>
    </row>
    <row r="413" spans="2:21" x14ac:dyDescent="0.25">
      <c r="B413" s="11">
        <v>41</v>
      </c>
      <c r="C413" t="s">
        <v>83</v>
      </c>
      <c r="D413" t="s">
        <v>562</v>
      </c>
      <c r="E413" s="6">
        <v>61</v>
      </c>
      <c r="F413" s="52">
        <v>210.74518032786887</v>
      </c>
      <c r="H413" s="53">
        <v>2</v>
      </c>
      <c r="K413" s="6"/>
      <c r="L413" s="6">
        <v>14.4</v>
      </c>
    </row>
    <row r="414" spans="2:21" x14ac:dyDescent="0.25">
      <c r="B414" s="11">
        <v>41</v>
      </c>
      <c r="C414" t="s">
        <v>83</v>
      </c>
      <c r="D414" t="s">
        <v>563</v>
      </c>
      <c r="E414" s="6">
        <v>150</v>
      </c>
      <c r="F414" s="52">
        <v>176.107844</v>
      </c>
      <c r="H414" s="53">
        <v>2</v>
      </c>
      <c r="J414" s="11" t="s">
        <v>797</v>
      </c>
      <c r="K414" s="6"/>
      <c r="L414" s="6">
        <v>29.59</v>
      </c>
    </row>
    <row r="415" spans="2:21" x14ac:dyDescent="0.25">
      <c r="B415" s="11">
        <v>41</v>
      </c>
      <c r="C415" t="s">
        <v>83</v>
      </c>
      <c r="D415" t="s">
        <v>564</v>
      </c>
      <c r="E415" s="6">
        <v>354</v>
      </c>
      <c r="F415" s="52">
        <v>195.62102203389827</v>
      </c>
      <c r="H415" s="53"/>
      <c r="J415" s="11" t="s">
        <v>797</v>
      </c>
      <c r="K415" s="6"/>
      <c r="L415" s="6">
        <v>77.569999999999993</v>
      </c>
    </row>
    <row r="416" spans="2:21" x14ac:dyDescent="0.25">
      <c r="B416" s="11">
        <v>41</v>
      </c>
      <c r="C416" t="s">
        <v>83</v>
      </c>
      <c r="D416" t="s">
        <v>565</v>
      </c>
      <c r="E416" s="6">
        <v>38.238507738300001</v>
      </c>
      <c r="F416" s="52">
        <v>77.744252478304617</v>
      </c>
      <c r="H416" s="53"/>
      <c r="J416" s="11" t="s">
        <v>797</v>
      </c>
      <c r="K416" s="6"/>
      <c r="L416" s="6">
        <v>3.33</v>
      </c>
    </row>
    <row r="417" spans="2:21" x14ac:dyDescent="0.25">
      <c r="B417" s="11">
        <v>41</v>
      </c>
      <c r="C417" t="s">
        <v>83</v>
      </c>
      <c r="D417" t="s">
        <v>566</v>
      </c>
      <c r="E417" s="6">
        <v>109</v>
      </c>
      <c r="F417" s="52">
        <v>99.99972380014178</v>
      </c>
      <c r="H417" s="53">
        <v>1</v>
      </c>
      <c r="K417" s="6"/>
      <c r="L417" s="6">
        <v>12.209568176866114</v>
      </c>
    </row>
    <row r="418" spans="2:21" x14ac:dyDescent="0.25">
      <c r="B418" s="11">
        <v>41</v>
      </c>
      <c r="C418" t="s">
        <v>83</v>
      </c>
      <c r="D418" t="s">
        <v>567</v>
      </c>
      <c r="E418" s="6">
        <v>14247</v>
      </c>
      <c r="F418" s="52">
        <v>134.60591728785008</v>
      </c>
      <c r="G418" s="11">
        <v>6</v>
      </c>
      <c r="H418" s="53">
        <v>4</v>
      </c>
      <c r="J418" s="11" t="s">
        <v>797</v>
      </c>
      <c r="K418" s="6"/>
      <c r="L418" s="6">
        <v>2148.14</v>
      </c>
    </row>
    <row r="419" spans="2:21" x14ac:dyDescent="0.25">
      <c r="B419" s="11">
        <v>41</v>
      </c>
      <c r="C419" t="s">
        <v>83</v>
      </c>
      <c r="D419" t="s">
        <v>568</v>
      </c>
      <c r="E419" s="6">
        <v>3202</v>
      </c>
      <c r="F419" s="52">
        <v>172.2999352279825</v>
      </c>
      <c r="G419" s="11">
        <v>6</v>
      </c>
      <c r="H419" s="53"/>
      <c r="J419" s="11" t="s">
        <v>797</v>
      </c>
      <c r="K419" s="6"/>
      <c r="L419" s="6">
        <v>617.99</v>
      </c>
    </row>
    <row r="420" spans="2:21" x14ac:dyDescent="0.25">
      <c r="B420" s="11">
        <v>41</v>
      </c>
      <c r="C420" t="s">
        <v>83</v>
      </c>
      <c r="D420" t="s">
        <v>16</v>
      </c>
      <c r="E420" s="6">
        <v>895.89114194236925</v>
      </c>
      <c r="F420" s="52">
        <v>99.99911002814153</v>
      </c>
      <c r="H420" s="54"/>
      <c r="K420" s="6"/>
      <c r="L420" s="6">
        <v>100.35180392222614</v>
      </c>
    </row>
    <row r="421" spans="2:21" ht="15.75" thickBot="1" x14ac:dyDescent="0.3">
      <c r="B421" s="36"/>
      <c r="C421" s="35"/>
      <c r="D421" s="59" t="s">
        <v>42</v>
      </c>
      <c r="E421" s="55">
        <v>19191.238507738301</v>
      </c>
      <c r="F421" s="56"/>
      <c r="G421" s="57"/>
      <c r="H421" s="58"/>
      <c r="I421" s="57"/>
      <c r="J421" s="57"/>
      <c r="K421" s="55">
        <v>0</v>
      </c>
      <c r="L421" s="55">
        <v>3018.603359925487</v>
      </c>
      <c r="N421" s="6"/>
      <c r="T421" s="6"/>
      <c r="U421" s="6"/>
    </row>
    <row r="422" spans="2:21" ht="15.75" thickTop="1" x14ac:dyDescent="0.25">
      <c r="B422" s="11">
        <v>43</v>
      </c>
      <c r="C422" t="s">
        <v>82</v>
      </c>
      <c r="D422" t="s">
        <v>569</v>
      </c>
      <c r="E422" s="6">
        <v>435</v>
      </c>
      <c r="F422" s="52">
        <v>76.201002758620703</v>
      </c>
      <c r="H422" s="53">
        <v>5</v>
      </c>
      <c r="J422" s="11" t="s">
        <v>797</v>
      </c>
      <c r="K422" s="6"/>
      <c r="L422" s="6">
        <v>37.130000000000003</v>
      </c>
    </row>
    <row r="423" spans="2:21" x14ac:dyDescent="0.25">
      <c r="B423" s="11">
        <v>43</v>
      </c>
      <c r="C423" t="s">
        <v>82</v>
      </c>
      <c r="D423" t="s">
        <v>570</v>
      </c>
      <c r="E423" s="6">
        <v>400</v>
      </c>
      <c r="F423" s="52">
        <v>119.0691975</v>
      </c>
      <c r="H423" s="53"/>
      <c r="J423" s="11" t="s">
        <v>797</v>
      </c>
      <c r="K423" s="6"/>
      <c r="L423" s="6">
        <v>53.35</v>
      </c>
    </row>
    <row r="424" spans="2:21" x14ac:dyDescent="0.25">
      <c r="B424" s="11">
        <v>43</v>
      </c>
      <c r="C424" t="s">
        <v>82</v>
      </c>
      <c r="D424" t="s">
        <v>571</v>
      </c>
      <c r="E424" s="6">
        <v>9392.0626843499995</v>
      </c>
      <c r="F424" s="52">
        <v>128.76224741292765</v>
      </c>
      <c r="H424" s="53"/>
      <c r="J424" s="11" t="s">
        <v>797</v>
      </c>
      <c r="K424" s="6"/>
      <c r="L424" s="6">
        <v>1354.6420000000001</v>
      </c>
    </row>
    <row r="425" spans="2:21" x14ac:dyDescent="0.25">
      <c r="B425" s="11">
        <v>43</v>
      </c>
      <c r="C425" t="s">
        <v>82</v>
      </c>
      <c r="D425" t="s">
        <v>572</v>
      </c>
      <c r="E425" s="6">
        <v>320</v>
      </c>
      <c r="F425" s="52">
        <v>45.953791500000008</v>
      </c>
      <c r="H425" s="53">
        <v>5</v>
      </c>
      <c r="J425" s="11" t="s">
        <v>797</v>
      </c>
      <c r="K425" s="6"/>
      <c r="L425" s="6">
        <v>16.472000000000001</v>
      </c>
    </row>
    <row r="426" spans="2:21" x14ac:dyDescent="0.25">
      <c r="B426" s="11">
        <v>43</v>
      </c>
      <c r="C426" t="s">
        <v>82</v>
      </c>
      <c r="D426" t="s">
        <v>573</v>
      </c>
      <c r="E426" s="6">
        <v>105</v>
      </c>
      <c r="F426" s="52">
        <v>66.895983999999999</v>
      </c>
      <c r="H426" s="53"/>
      <c r="J426" s="11" t="s">
        <v>797</v>
      </c>
      <c r="K426" s="6"/>
      <c r="L426" s="6">
        <v>7.8680000000000003</v>
      </c>
    </row>
    <row r="427" spans="2:21" x14ac:dyDescent="0.25">
      <c r="B427" s="11">
        <v>43</v>
      </c>
      <c r="C427" t="s">
        <v>82</v>
      </c>
      <c r="D427" t="s">
        <v>574</v>
      </c>
      <c r="E427" s="6">
        <v>1614</v>
      </c>
      <c r="F427" s="52">
        <v>79.999779040113424</v>
      </c>
      <c r="H427" s="53">
        <v>1</v>
      </c>
      <c r="K427" s="6"/>
      <c r="L427" s="6">
        <v>144.63297642173876</v>
      </c>
    </row>
    <row r="428" spans="2:21" x14ac:dyDescent="0.25">
      <c r="B428" s="11">
        <v>43</v>
      </c>
      <c r="C428" t="s">
        <v>82</v>
      </c>
      <c r="D428" t="s">
        <v>575</v>
      </c>
      <c r="E428" s="6">
        <v>187</v>
      </c>
      <c r="F428" s="52">
        <v>66.244172406417107</v>
      </c>
      <c r="H428" s="53"/>
      <c r="J428" s="11" t="s">
        <v>797</v>
      </c>
      <c r="K428" s="6"/>
      <c r="L428" s="6">
        <v>13.875999999999999</v>
      </c>
    </row>
    <row r="429" spans="2:21" x14ac:dyDescent="0.25">
      <c r="B429" s="11">
        <v>43</v>
      </c>
      <c r="C429" t="s">
        <v>82</v>
      </c>
      <c r="D429" t="s">
        <v>576</v>
      </c>
      <c r="E429" s="6">
        <v>85</v>
      </c>
      <c r="F429" s="52">
        <v>67.218070588235307</v>
      </c>
      <c r="H429" s="53">
        <v>2</v>
      </c>
      <c r="J429" s="11" t="s">
        <v>797</v>
      </c>
      <c r="K429" s="6"/>
      <c r="L429" s="6">
        <v>6.4</v>
      </c>
    </row>
    <row r="430" spans="2:21" x14ac:dyDescent="0.25">
      <c r="B430" s="11">
        <v>43</v>
      </c>
      <c r="C430" t="s">
        <v>82</v>
      </c>
      <c r="D430" t="s">
        <v>577</v>
      </c>
      <c r="E430" s="6">
        <v>23</v>
      </c>
      <c r="F430" s="52">
        <v>105.2268756521739</v>
      </c>
      <c r="H430" s="53"/>
      <c r="J430" s="11" t="s">
        <v>797</v>
      </c>
      <c r="K430" s="6"/>
      <c r="L430" s="6">
        <v>2.7109999999999999</v>
      </c>
    </row>
    <row r="431" spans="2:21" x14ac:dyDescent="0.25">
      <c r="B431" s="11">
        <v>43</v>
      </c>
      <c r="C431" t="s">
        <v>82</v>
      </c>
      <c r="D431" t="s">
        <v>578</v>
      </c>
      <c r="E431" s="6">
        <v>94</v>
      </c>
      <c r="F431" s="52">
        <v>79.99977904011341</v>
      </c>
      <c r="H431" s="53">
        <v>1</v>
      </c>
      <c r="K431" s="6"/>
      <c r="L431" s="6">
        <v>8.4234818981681805</v>
      </c>
    </row>
    <row r="432" spans="2:21" x14ac:dyDescent="0.25">
      <c r="B432" s="11">
        <v>43</v>
      </c>
      <c r="C432" t="s">
        <v>82</v>
      </c>
      <c r="D432" t="s">
        <v>579</v>
      </c>
      <c r="E432" s="6">
        <v>650</v>
      </c>
      <c r="F432" s="52">
        <v>112.97968061538462</v>
      </c>
      <c r="H432" s="53"/>
      <c r="J432" s="11" t="s">
        <v>797</v>
      </c>
      <c r="K432" s="6"/>
      <c r="L432" s="6">
        <v>82.26</v>
      </c>
    </row>
    <row r="433" spans="2:12" x14ac:dyDescent="0.25">
      <c r="B433" s="11">
        <v>43</v>
      </c>
      <c r="C433" t="s">
        <v>82</v>
      </c>
      <c r="D433" t="s">
        <v>580</v>
      </c>
      <c r="E433" s="6">
        <v>876</v>
      </c>
      <c r="F433" s="52">
        <v>88.748139452054787</v>
      </c>
      <c r="H433" s="53"/>
      <c r="J433" s="11" t="s">
        <v>797</v>
      </c>
      <c r="K433" s="6"/>
      <c r="L433" s="6">
        <v>87.084000000000003</v>
      </c>
    </row>
    <row r="434" spans="2:12" x14ac:dyDescent="0.25">
      <c r="B434" s="11">
        <v>43</v>
      </c>
      <c r="C434" t="s">
        <v>82</v>
      </c>
      <c r="D434" t="s">
        <v>581</v>
      </c>
      <c r="E434" s="6">
        <v>32.345829243499999</v>
      </c>
      <c r="F434" s="52">
        <v>159.99632413319489</v>
      </c>
      <c r="H434" s="53"/>
      <c r="J434" s="11" t="s">
        <v>797</v>
      </c>
      <c r="K434" s="6"/>
      <c r="L434" s="6">
        <v>5.7969999999999997</v>
      </c>
    </row>
    <row r="435" spans="2:12" x14ac:dyDescent="0.25">
      <c r="B435" s="11">
        <v>43</v>
      </c>
      <c r="C435" t="s">
        <v>82</v>
      </c>
      <c r="D435" t="s">
        <v>582</v>
      </c>
      <c r="E435" s="6">
        <v>380</v>
      </c>
      <c r="F435" s="52">
        <v>79.999779040113424</v>
      </c>
      <c r="H435" s="53">
        <v>1</v>
      </c>
      <c r="K435" s="6"/>
      <c r="L435" s="6">
        <v>34.052373630892646</v>
      </c>
    </row>
    <row r="436" spans="2:12" x14ac:dyDescent="0.25">
      <c r="B436" s="11">
        <v>43</v>
      </c>
      <c r="C436" t="s">
        <v>82</v>
      </c>
      <c r="D436" t="s">
        <v>583</v>
      </c>
      <c r="E436" s="6">
        <v>505</v>
      </c>
      <c r="F436" s="52">
        <v>60.054001069306928</v>
      </c>
      <c r="H436" s="53"/>
      <c r="J436" s="11" t="s">
        <v>797</v>
      </c>
      <c r="K436" s="6"/>
      <c r="L436" s="6">
        <v>33.970999999999997</v>
      </c>
    </row>
    <row r="437" spans="2:12" x14ac:dyDescent="0.25">
      <c r="B437" s="11">
        <v>43</v>
      </c>
      <c r="C437" t="s">
        <v>82</v>
      </c>
      <c r="D437" t="s">
        <v>584</v>
      </c>
      <c r="E437" s="6">
        <v>40</v>
      </c>
      <c r="F437" s="52">
        <v>138.79875150000001</v>
      </c>
      <c r="H437" s="53"/>
      <c r="J437" s="11" t="s">
        <v>797</v>
      </c>
      <c r="K437" s="6"/>
      <c r="L437" s="6">
        <v>6.2190000000000003</v>
      </c>
    </row>
    <row r="438" spans="2:12" x14ac:dyDescent="0.25">
      <c r="B438" s="11">
        <v>43</v>
      </c>
      <c r="C438" t="s">
        <v>82</v>
      </c>
      <c r="D438" t="s">
        <v>585</v>
      </c>
      <c r="E438" s="6">
        <v>115</v>
      </c>
      <c r="F438" s="52">
        <v>101.39197513043479</v>
      </c>
      <c r="H438" s="53"/>
      <c r="J438" s="11" t="s">
        <v>797</v>
      </c>
      <c r="K438" s="6"/>
      <c r="L438" s="6">
        <v>13.061</v>
      </c>
    </row>
    <row r="439" spans="2:12" x14ac:dyDescent="0.25">
      <c r="B439" s="11">
        <v>43</v>
      </c>
      <c r="C439" t="s">
        <v>82</v>
      </c>
      <c r="D439" t="s">
        <v>586</v>
      </c>
      <c r="E439" s="6">
        <v>448</v>
      </c>
      <c r="F439" s="52">
        <v>63.516059732142857</v>
      </c>
      <c r="H439" s="53"/>
      <c r="J439" s="11" t="s">
        <v>797</v>
      </c>
      <c r="K439" s="6"/>
      <c r="L439" s="6">
        <v>31.873999999999999</v>
      </c>
    </row>
    <row r="440" spans="2:12" x14ac:dyDescent="0.25">
      <c r="B440" s="11">
        <v>43</v>
      </c>
      <c r="C440" t="s">
        <v>82</v>
      </c>
      <c r="D440" t="s">
        <v>587</v>
      </c>
      <c r="E440" s="6">
        <v>355</v>
      </c>
      <c r="F440" s="52">
        <v>79.999779040113424</v>
      </c>
      <c r="H440" s="53">
        <v>1</v>
      </c>
      <c r="K440" s="6"/>
      <c r="L440" s="6">
        <v>31.812085892018132</v>
      </c>
    </row>
    <row r="441" spans="2:12" x14ac:dyDescent="0.25">
      <c r="B441" s="11">
        <v>43</v>
      </c>
      <c r="C441" t="s">
        <v>82</v>
      </c>
      <c r="D441" t="s">
        <v>588</v>
      </c>
      <c r="E441" s="6">
        <v>110</v>
      </c>
      <c r="F441" s="52">
        <v>97.324891636363645</v>
      </c>
      <c r="H441" s="53"/>
      <c r="J441" s="11" t="s">
        <v>797</v>
      </c>
      <c r="K441" s="6"/>
      <c r="L441" s="6">
        <v>11.992000000000001</v>
      </c>
    </row>
    <row r="442" spans="2:12" x14ac:dyDescent="0.25">
      <c r="B442" s="11">
        <v>43</v>
      </c>
      <c r="C442" t="s">
        <v>82</v>
      </c>
      <c r="D442" t="s">
        <v>589</v>
      </c>
      <c r="E442" s="6">
        <v>377.98493032499999</v>
      </c>
      <c r="F442" s="52">
        <v>115.76795879765739</v>
      </c>
      <c r="H442" s="53"/>
      <c r="I442" s="11" t="s">
        <v>797</v>
      </c>
      <c r="K442" s="6">
        <v>49.015999999999998</v>
      </c>
      <c r="L442" s="6"/>
    </row>
    <row r="443" spans="2:12" x14ac:dyDescent="0.25">
      <c r="B443" s="11">
        <v>43</v>
      </c>
      <c r="C443" t="s">
        <v>82</v>
      </c>
      <c r="D443" t="s">
        <v>590</v>
      </c>
      <c r="E443" s="6">
        <v>180</v>
      </c>
      <c r="F443" s="52">
        <v>150.77386666666666</v>
      </c>
      <c r="H443" s="53">
        <v>2</v>
      </c>
      <c r="J443" s="11" t="s">
        <v>797</v>
      </c>
      <c r="K443" s="6"/>
      <c r="L443" s="6">
        <v>30.4</v>
      </c>
    </row>
    <row r="444" spans="2:12" x14ac:dyDescent="0.25">
      <c r="B444" s="11">
        <v>43</v>
      </c>
      <c r="C444" t="s">
        <v>82</v>
      </c>
      <c r="D444" t="s">
        <v>591</v>
      </c>
      <c r="E444" s="6">
        <v>17</v>
      </c>
      <c r="F444" s="52">
        <v>97.361174117647053</v>
      </c>
      <c r="H444" s="53"/>
      <c r="J444" s="11" t="s">
        <v>797</v>
      </c>
      <c r="K444" s="6"/>
      <c r="L444" s="6">
        <v>1.8540000000000001</v>
      </c>
    </row>
    <row r="445" spans="2:12" x14ac:dyDescent="0.25">
      <c r="B445" s="11">
        <v>43</v>
      </c>
      <c r="C445" t="s">
        <v>82</v>
      </c>
      <c r="D445" t="s">
        <v>592</v>
      </c>
      <c r="E445" s="6">
        <v>264</v>
      </c>
      <c r="F445" s="52">
        <v>119.23151386363638</v>
      </c>
      <c r="H445" s="53"/>
      <c r="J445" s="11" t="s">
        <v>797</v>
      </c>
      <c r="K445" s="6"/>
      <c r="L445" s="6">
        <v>35.259</v>
      </c>
    </row>
    <row r="446" spans="2:12" x14ac:dyDescent="0.25">
      <c r="B446" s="11">
        <v>43</v>
      </c>
      <c r="C446" t="s">
        <v>82</v>
      </c>
      <c r="D446" t="s">
        <v>593</v>
      </c>
      <c r="E446" s="6">
        <v>155</v>
      </c>
      <c r="F446" s="52">
        <v>143.80025535483873</v>
      </c>
      <c r="H446" s="53"/>
      <c r="J446" s="11" t="s">
        <v>797</v>
      </c>
      <c r="K446" s="6">
        <v>20.120999999999999</v>
      </c>
      <c r="L446" s="6">
        <v>4.8460000000000001</v>
      </c>
    </row>
    <row r="447" spans="2:12" x14ac:dyDescent="0.25">
      <c r="B447" s="11">
        <v>43</v>
      </c>
      <c r="C447" t="s">
        <v>82</v>
      </c>
      <c r="D447" t="s">
        <v>594</v>
      </c>
      <c r="E447" s="6">
        <v>99703</v>
      </c>
      <c r="F447" s="52">
        <v>101.77940679277455</v>
      </c>
      <c r="H447" s="53">
        <v>4</v>
      </c>
      <c r="J447" s="11" t="s">
        <v>797</v>
      </c>
      <c r="K447" s="6"/>
      <c r="L447" s="6">
        <v>11366.929</v>
      </c>
    </row>
    <row r="448" spans="2:12" x14ac:dyDescent="0.25">
      <c r="B448" s="11">
        <v>43</v>
      </c>
      <c r="C448" t="s">
        <v>82</v>
      </c>
      <c r="D448" t="s">
        <v>595</v>
      </c>
      <c r="E448" s="6">
        <v>320</v>
      </c>
      <c r="F448" s="52">
        <v>79.999779040113424</v>
      </c>
      <c r="H448" s="53">
        <v>1</v>
      </c>
      <c r="K448" s="6"/>
      <c r="L448" s="6">
        <v>28.675683057593808</v>
      </c>
    </row>
    <row r="449" spans="2:21" x14ac:dyDescent="0.25">
      <c r="B449" s="11">
        <v>43</v>
      </c>
      <c r="C449" t="s">
        <v>82</v>
      </c>
      <c r="D449" t="s">
        <v>596</v>
      </c>
      <c r="E449" s="6">
        <v>172</v>
      </c>
      <c r="F449" s="52">
        <v>99.218708372093019</v>
      </c>
      <c r="H449" s="53"/>
      <c r="J449" s="11" t="s">
        <v>797</v>
      </c>
      <c r="K449" s="6"/>
      <c r="L449" s="6">
        <v>19.116</v>
      </c>
    </row>
    <row r="450" spans="2:21" x14ac:dyDescent="0.25">
      <c r="B450" s="11">
        <v>43</v>
      </c>
      <c r="C450" t="s">
        <v>82</v>
      </c>
      <c r="D450" t="s">
        <v>597</v>
      </c>
      <c r="E450" s="6">
        <v>260</v>
      </c>
      <c r="F450" s="52">
        <v>400.0779973846154</v>
      </c>
      <c r="H450" s="53"/>
      <c r="J450" s="11" t="s">
        <v>797</v>
      </c>
      <c r="K450" s="6"/>
      <c r="L450" s="6">
        <v>116.518</v>
      </c>
    </row>
    <row r="451" spans="2:21" x14ac:dyDescent="0.25">
      <c r="B451" s="11">
        <v>43</v>
      </c>
      <c r="C451" t="s">
        <v>82</v>
      </c>
      <c r="D451" t="s">
        <v>598</v>
      </c>
      <c r="E451" s="6">
        <v>87</v>
      </c>
      <c r="F451" s="52">
        <v>280.43323517241379</v>
      </c>
      <c r="H451" s="53"/>
      <c r="J451" s="11" t="s">
        <v>797</v>
      </c>
      <c r="K451" s="6"/>
      <c r="L451" s="6">
        <v>27.329000000000001</v>
      </c>
    </row>
    <row r="452" spans="2:21" x14ac:dyDescent="0.25">
      <c r="B452" s="11">
        <v>43</v>
      </c>
      <c r="C452" t="s">
        <v>82</v>
      </c>
      <c r="D452" t="s">
        <v>599</v>
      </c>
      <c r="E452" s="6">
        <v>83</v>
      </c>
      <c r="F452" s="52">
        <v>67.708413253012054</v>
      </c>
      <c r="H452" s="53"/>
      <c r="J452" s="11" t="s">
        <v>797</v>
      </c>
      <c r="K452" s="6"/>
      <c r="L452" s="6">
        <v>6.2949999999999999</v>
      </c>
    </row>
    <row r="453" spans="2:21" x14ac:dyDescent="0.25">
      <c r="B453" s="11">
        <v>43</v>
      </c>
      <c r="C453" t="s">
        <v>82</v>
      </c>
      <c r="D453" t="s">
        <v>16</v>
      </c>
      <c r="E453" s="6">
        <v>28797.909898272243</v>
      </c>
      <c r="F453" s="52">
        <v>100.76551594898213</v>
      </c>
      <c r="H453" s="54"/>
      <c r="K453" s="6"/>
      <c r="L453" s="6">
        <v>3250.4740845980868</v>
      </c>
    </row>
    <row r="454" spans="2:21" x14ac:dyDescent="0.25">
      <c r="B454" s="11">
        <v>43</v>
      </c>
      <c r="C454" t="s">
        <v>84</v>
      </c>
      <c r="D454" t="s">
        <v>16</v>
      </c>
      <c r="E454" s="6">
        <v>2251.090101727757</v>
      </c>
      <c r="F454" s="52">
        <v>79.999288022513227</v>
      </c>
      <c r="H454" s="54"/>
      <c r="K454" s="6"/>
      <c r="L454" s="6">
        <v>201.72178687698613</v>
      </c>
    </row>
    <row r="455" spans="2:21" ht="15.75" thickBot="1" x14ac:dyDescent="0.3">
      <c r="B455" s="36"/>
      <c r="C455" s="35"/>
      <c r="D455" s="59" t="s">
        <v>42</v>
      </c>
      <c r="E455" s="55">
        <v>148834.3934439185</v>
      </c>
      <c r="F455" s="56"/>
      <c r="G455" s="57"/>
      <c r="H455" s="58"/>
      <c r="I455" s="57"/>
      <c r="J455" s="57"/>
      <c r="K455" s="55">
        <v>69.137</v>
      </c>
      <c r="L455" s="55">
        <v>17073.045472375488</v>
      </c>
      <c r="N455" s="6"/>
      <c r="T455" s="6"/>
      <c r="U455" s="6"/>
    </row>
    <row r="456" spans="2:21" ht="15.75" thickTop="1" x14ac:dyDescent="0.25">
      <c r="B456" s="11">
        <v>45</v>
      </c>
      <c r="C456" t="s">
        <v>84</v>
      </c>
      <c r="D456" t="s">
        <v>795</v>
      </c>
      <c r="E456" s="6">
        <v>5694</v>
      </c>
      <c r="F456" s="52">
        <v>78.857132139093792</v>
      </c>
      <c r="H456" s="53">
        <v>5</v>
      </c>
      <c r="I456" s="11" t="s">
        <v>797</v>
      </c>
      <c r="K456" s="6">
        <v>502.96</v>
      </c>
      <c r="L456" s="6"/>
    </row>
    <row r="457" spans="2:21" x14ac:dyDescent="0.25">
      <c r="B457" s="11">
        <v>45</v>
      </c>
      <c r="C457" t="s">
        <v>84</v>
      </c>
      <c r="D457" t="s">
        <v>600</v>
      </c>
      <c r="E457" s="6">
        <v>460</v>
      </c>
      <c r="F457" s="52">
        <v>61.036245652173918</v>
      </c>
      <c r="G457" s="11">
        <v>6</v>
      </c>
      <c r="H457" s="53"/>
      <c r="I457" s="11" t="s">
        <v>797</v>
      </c>
      <c r="K457" s="6">
        <v>31.45</v>
      </c>
      <c r="L457" s="6"/>
    </row>
    <row r="458" spans="2:21" x14ac:dyDescent="0.25">
      <c r="B458" s="11">
        <v>45</v>
      </c>
      <c r="C458" t="s">
        <v>84</v>
      </c>
      <c r="D458" t="s">
        <v>601</v>
      </c>
      <c r="E458" s="6">
        <v>7774.17</v>
      </c>
      <c r="F458" s="52">
        <v>196.21247392326126</v>
      </c>
      <c r="G458" s="11">
        <v>3</v>
      </c>
      <c r="H458" s="53"/>
      <c r="I458" s="11" t="s">
        <v>797</v>
      </c>
      <c r="K458" s="6">
        <v>1708.66</v>
      </c>
      <c r="L458" s="6"/>
    </row>
    <row r="459" spans="2:21" x14ac:dyDescent="0.25">
      <c r="B459" s="11">
        <v>45</v>
      </c>
      <c r="C459" t="s">
        <v>84</v>
      </c>
      <c r="D459" t="s">
        <v>602</v>
      </c>
      <c r="E459" s="6">
        <v>1125</v>
      </c>
      <c r="F459" s="52">
        <v>45.978093866666669</v>
      </c>
      <c r="G459" s="11">
        <v>6</v>
      </c>
      <c r="H459" s="53"/>
      <c r="I459" s="11" t="s">
        <v>797</v>
      </c>
      <c r="K459" s="6">
        <v>57.94</v>
      </c>
      <c r="L459" s="6"/>
    </row>
    <row r="460" spans="2:21" x14ac:dyDescent="0.25">
      <c r="B460" s="11">
        <v>45</v>
      </c>
      <c r="C460" t="s">
        <v>84</v>
      </c>
      <c r="D460" t="s">
        <v>603</v>
      </c>
      <c r="E460" s="6">
        <v>8956.7999999999993</v>
      </c>
      <c r="F460" s="52">
        <v>111.55462473204717</v>
      </c>
      <c r="H460" s="53">
        <v>4</v>
      </c>
      <c r="I460" s="11" t="s">
        <v>797</v>
      </c>
      <c r="K460" s="6">
        <v>1119.22</v>
      </c>
    </row>
    <row r="461" spans="2:21" x14ac:dyDescent="0.25">
      <c r="B461" s="11">
        <v>45</v>
      </c>
      <c r="C461" t="s">
        <v>84</v>
      </c>
      <c r="D461" t="s">
        <v>604</v>
      </c>
      <c r="E461" s="6">
        <v>46034.801640799997</v>
      </c>
      <c r="F461" s="52">
        <v>256.39483043061693</v>
      </c>
      <c r="G461" s="11">
        <v>3</v>
      </c>
      <c r="H461" s="53"/>
      <c r="I461" s="11" t="s">
        <v>797</v>
      </c>
      <c r="K461" s="6">
        <v>13221.19</v>
      </c>
      <c r="L461" s="6"/>
    </row>
    <row r="462" spans="2:21" x14ac:dyDescent="0.25">
      <c r="B462" s="11">
        <v>45</v>
      </c>
      <c r="C462" t="s">
        <v>84</v>
      </c>
      <c r="D462" t="s">
        <v>605</v>
      </c>
      <c r="E462" s="6">
        <v>4124</v>
      </c>
      <c r="F462" s="52">
        <v>56.20971590688653</v>
      </c>
      <c r="G462" s="11">
        <v>7</v>
      </c>
      <c r="H462" s="53"/>
      <c r="I462" s="11" t="s">
        <v>797</v>
      </c>
      <c r="K462" s="6">
        <v>259.66000000000003</v>
      </c>
      <c r="L462" s="6"/>
    </row>
    <row r="463" spans="2:21" x14ac:dyDescent="0.25">
      <c r="B463" s="11">
        <v>45</v>
      </c>
      <c r="C463" t="s">
        <v>84</v>
      </c>
      <c r="D463" t="s">
        <v>606</v>
      </c>
      <c r="E463" s="6">
        <v>112</v>
      </c>
      <c r="F463" s="52">
        <v>69.999806660099253</v>
      </c>
      <c r="H463" s="53">
        <v>1</v>
      </c>
      <c r="K463" s="6"/>
      <c r="L463" s="6">
        <v>8.7819279363881044</v>
      </c>
    </row>
    <row r="464" spans="2:21" x14ac:dyDescent="0.25">
      <c r="B464" s="11">
        <v>45</v>
      </c>
      <c r="C464" t="s">
        <v>84</v>
      </c>
      <c r="D464" t="s">
        <v>607</v>
      </c>
      <c r="E464" s="6">
        <v>5069</v>
      </c>
      <c r="F464" s="52">
        <v>109.6877884000789</v>
      </c>
      <c r="H464" s="53"/>
      <c r="I464" s="11" t="s">
        <v>797</v>
      </c>
      <c r="K464" s="6">
        <v>622.80999999999995</v>
      </c>
      <c r="L464" s="6"/>
    </row>
    <row r="465" spans="2:21" x14ac:dyDescent="0.25">
      <c r="B465" s="11">
        <v>45</v>
      </c>
      <c r="C465" t="s">
        <v>84</v>
      </c>
      <c r="D465" t="s">
        <v>608</v>
      </c>
      <c r="E465" s="6">
        <v>8232</v>
      </c>
      <c r="F465" s="52">
        <v>116.17549227405249</v>
      </c>
      <c r="G465" s="11">
        <v>3</v>
      </c>
      <c r="H465" s="53">
        <v>5</v>
      </c>
      <c r="I465" s="11" t="s">
        <v>797</v>
      </c>
      <c r="K465" s="6">
        <v>1071.26</v>
      </c>
      <c r="L465" s="6"/>
    </row>
    <row r="466" spans="2:21" x14ac:dyDescent="0.25">
      <c r="B466" s="11">
        <v>45</v>
      </c>
      <c r="C466" t="s">
        <v>84</v>
      </c>
      <c r="D466" t="s">
        <v>609</v>
      </c>
      <c r="E466" s="6">
        <v>538</v>
      </c>
      <c r="F466" s="52">
        <v>52.767903345724903</v>
      </c>
      <c r="H466" s="53">
        <v>2</v>
      </c>
      <c r="J466" s="11" t="s">
        <v>797</v>
      </c>
      <c r="K466" s="6"/>
      <c r="L466" s="6">
        <v>31.8</v>
      </c>
    </row>
    <row r="467" spans="2:21" x14ac:dyDescent="0.25">
      <c r="B467" s="11">
        <v>45</v>
      </c>
      <c r="C467" t="s">
        <v>84</v>
      </c>
      <c r="D467" t="s">
        <v>610</v>
      </c>
      <c r="E467" s="6">
        <v>3966.6079882899999</v>
      </c>
      <c r="F467" s="52">
        <v>65.332204791862509</v>
      </c>
      <c r="H467" s="53"/>
      <c r="I467" s="11" t="s">
        <v>797</v>
      </c>
      <c r="K467" s="6">
        <v>290.28300000000002</v>
      </c>
      <c r="L467" s="6"/>
    </row>
    <row r="468" spans="2:21" x14ac:dyDescent="0.25">
      <c r="B468" s="11">
        <v>45</v>
      </c>
      <c r="C468" t="s">
        <v>84</v>
      </c>
      <c r="D468" t="s">
        <v>611</v>
      </c>
      <c r="E468" s="6">
        <v>38</v>
      </c>
      <c r="F468" s="52">
        <v>69.999806660099253</v>
      </c>
      <c r="H468" s="53">
        <v>1</v>
      </c>
      <c r="K468" s="6"/>
      <c r="L468" s="6">
        <v>2.9795826927031066</v>
      </c>
    </row>
    <row r="469" spans="2:21" x14ac:dyDescent="0.25">
      <c r="B469" s="11">
        <v>45</v>
      </c>
      <c r="C469" t="s">
        <v>84</v>
      </c>
      <c r="D469" t="s">
        <v>612</v>
      </c>
      <c r="E469" s="6">
        <v>139</v>
      </c>
      <c r="F469" s="52">
        <v>69.999806660099253</v>
      </c>
      <c r="H469" s="53">
        <v>1</v>
      </c>
      <c r="J469" s="11" t="s">
        <v>797</v>
      </c>
      <c r="L469" s="6">
        <v>10.898999849624522</v>
      </c>
    </row>
    <row r="470" spans="2:21" x14ac:dyDescent="0.25">
      <c r="B470" s="11">
        <v>45</v>
      </c>
      <c r="C470" t="s">
        <v>84</v>
      </c>
      <c r="D470" t="s">
        <v>613</v>
      </c>
      <c r="E470" s="6">
        <v>8295</v>
      </c>
      <c r="F470" s="52">
        <v>210.28627920433999</v>
      </c>
      <c r="G470" s="11">
        <v>6</v>
      </c>
      <c r="H470" s="53"/>
      <c r="I470" s="11" t="s">
        <v>798</v>
      </c>
      <c r="K470" s="6">
        <v>1953.9</v>
      </c>
      <c r="L470" s="6"/>
    </row>
    <row r="471" spans="2:21" x14ac:dyDescent="0.25">
      <c r="B471" s="11">
        <v>45</v>
      </c>
      <c r="C471" t="s">
        <v>84</v>
      </c>
      <c r="D471" t="s">
        <v>614</v>
      </c>
      <c r="E471" s="6">
        <v>1495</v>
      </c>
      <c r="F471" s="52">
        <v>53.199541043478263</v>
      </c>
      <c r="G471" s="11">
        <v>6</v>
      </c>
      <c r="H471" s="53"/>
      <c r="I471" s="11" t="s">
        <v>797</v>
      </c>
      <c r="K471" s="6">
        <v>89.088999999999999</v>
      </c>
      <c r="L471" s="6"/>
    </row>
    <row r="472" spans="2:21" x14ac:dyDescent="0.25">
      <c r="B472" s="11">
        <v>45</v>
      </c>
      <c r="C472" t="s">
        <v>84</v>
      </c>
      <c r="D472" t="s">
        <v>615</v>
      </c>
      <c r="E472" s="6">
        <v>2762</v>
      </c>
      <c r="F472" s="52">
        <v>59.821983779869662</v>
      </c>
      <c r="G472" s="11">
        <v>6</v>
      </c>
      <c r="H472" s="53"/>
      <c r="I472" s="11" t="s">
        <v>797</v>
      </c>
      <c r="K472" s="6">
        <v>185.08</v>
      </c>
      <c r="L472" s="6"/>
    </row>
    <row r="473" spans="2:21" x14ac:dyDescent="0.25">
      <c r="B473" s="11">
        <v>45</v>
      </c>
      <c r="C473" t="s">
        <v>84</v>
      </c>
      <c r="D473" t="s">
        <v>616</v>
      </c>
      <c r="E473" s="6">
        <v>3142.2344364999999</v>
      </c>
      <c r="F473" s="52">
        <v>69.180767505728397</v>
      </c>
      <c r="G473" s="11">
        <v>6</v>
      </c>
      <c r="H473" s="53"/>
      <c r="I473" s="11" t="s">
        <v>797</v>
      </c>
      <c r="K473" s="6">
        <v>243.5</v>
      </c>
    </row>
    <row r="474" spans="2:21" x14ac:dyDescent="0.25">
      <c r="B474" s="11">
        <v>45</v>
      </c>
      <c r="C474" t="s">
        <v>84</v>
      </c>
      <c r="D474" t="s">
        <v>16</v>
      </c>
      <c r="E474" s="6">
        <v>13703</v>
      </c>
      <c r="F474" s="52">
        <v>69.999377019699068</v>
      </c>
      <c r="H474" s="54"/>
      <c r="K474" s="6"/>
      <c r="L474" s="6">
        <v>1074.4436386717909</v>
      </c>
    </row>
    <row r="475" spans="2:21" ht="15.75" thickBot="1" x14ac:dyDescent="0.3">
      <c r="B475" s="36"/>
      <c r="C475" s="35"/>
      <c r="D475" s="59" t="s">
        <v>42</v>
      </c>
      <c r="E475" s="55">
        <v>121660.61406558999</v>
      </c>
      <c r="F475" s="56"/>
      <c r="G475" s="57"/>
      <c r="H475" s="58"/>
      <c r="I475" s="57"/>
      <c r="J475" s="57"/>
      <c r="K475" s="55">
        <v>21357.002000000004</v>
      </c>
      <c r="L475" s="55">
        <v>1128.9041491505068</v>
      </c>
      <c r="N475" s="6"/>
      <c r="T475" s="6"/>
      <c r="U475" s="6"/>
    </row>
    <row r="476" spans="2:21" ht="15.75" thickTop="1" x14ac:dyDescent="0.25">
      <c r="B476" s="11">
        <v>47</v>
      </c>
      <c r="C476" t="s">
        <v>79</v>
      </c>
      <c r="D476" t="s">
        <v>617</v>
      </c>
      <c r="E476" s="6">
        <v>604</v>
      </c>
      <c r="F476" s="52">
        <v>90.160827814569544</v>
      </c>
      <c r="H476" s="53">
        <v>2</v>
      </c>
      <c r="K476" s="6">
        <v>61</v>
      </c>
      <c r="L476" s="6"/>
    </row>
    <row r="477" spans="2:21" x14ac:dyDescent="0.25">
      <c r="B477" s="11">
        <v>47</v>
      </c>
      <c r="C477" t="s">
        <v>79</v>
      </c>
      <c r="D477" t="s">
        <v>618</v>
      </c>
      <c r="E477" s="6">
        <v>500</v>
      </c>
      <c r="F477" s="52">
        <v>79.999779040113424</v>
      </c>
      <c r="H477" s="53">
        <v>1</v>
      </c>
      <c r="K477" s="6"/>
      <c r="L477" s="6">
        <v>44.805754777490328</v>
      </c>
    </row>
    <row r="478" spans="2:21" x14ac:dyDescent="0.25">
      <c r="B478" s="11">
        <v>47</v>
      </c>
      <c r="C478" t="s">
        <v>79</v>
      </c>
      <c r="D478" t="s">
        <v>16</v>
      </c>
      <c r="E478" s="6">
        <v>248.15884980457844</v>
      </c>
      <c r="F478" s="52">
        <v>79.999288022513213</v>
      </c>
      <c r="H478" s="54"/>
      <c r="K478" s="6"/>
      <c r="L478" s="6">
        <v>22.237691229460719</v>
      </c>
    </row>
    <row r="479" spans="2:21" x14ac:dyDescent="0.25">
      <c r="B479" s="11">
        <v>47</v>
      </c>
      <c r="C479" t="s">
        <v>81</v>
      </c>
      <c r="D479" t="s">
        <v>619</v>
      </c>
      <c r="E479" s="6">
        <v>29</v>
      </c>
      <c r="F479" s="52">
        <v>79.999779040113424</v>
      </c>
      <c r="G479" s="11">
        <v>9</v>
      </c>
      <c r="H479" s="53">
        <v>1</v>
      </c>
      <c r="K479" s="6"/>
      <c r="L479" s="6">
        <v>2.5987337770944388</v>
      </c>
    </row>
    <row r="480" spans="2:21" x14ac:dyDescent="0.25">
      <c r="B480" s="11">
        <v>47</v>
      </c>
      <c r="C480" t="s">
        <v>81</v>
      </c>
      <c r="D480" t="s">
        <v>620</v>
      </c>
      <c r="E480" s="6">
        <v>49</v>
      </c>
      <c r="F480" s="52">
        <v>79.999779040113424</v>
      </c>
      <c r="H480" s="53">
        <v>1</v>
      </c>
      <c r="K480" s="6"/>
      <c r="L480" s="6">
        <v>4.3909639681940522</v>
      </c>
    </row>
    <row r="481" spans="2:12" x14ac:dyDescent="0.25">
      <c r="B481" s="11">
        <v>47</v>
      </c>
      <c r="C481" t="s">
        <v>81</v>
      </c>
      <c r="D481" t="s">
        <v>621</v>
      </c>
      <c r="E481" s="6">
        <v>60</v>
      </c>
      <c r="F481" s="52">
        <v>79.999779040113438</v>
      </c>
      <c r="H481" s="53">
        <v>1</v>
      </c>
      <c r="K481" s="6"/>
      <c r="L481" s="6">
        <v>5.3766905732988395</v>
      </c>
    </row>
    <row r="482" spans="2:12" x14ac:dyDescent="0.25">
      <c r="B482" s="11">
        <v>47</v>
      </c>
      <c r="C482" t="s">
        <v>81</v>
      </c>
      <c r="D482" t="s">
        <v>622</v>
      </c>
      <c r="E482" s="6">
        <v>450</v>
      </c>
      <c r="F482" s="52">
        <v>60.349224000000007</v>
      </c>
      <c r="H482" s="53">
        <v>5</v>
      </c>
      <c r="J482" s="11" t="s">
        <v>797</v>
      </c>
      <c r="K482" s="6"/>
      <c r="L482" s="6">
        <v>30.42</v>
      </c>
    </row>
    <row r="483" spans="2:12" x14ac:dyDescent="0.25">
      <c r="B483" s="11">
        <v>47</v>
      </c>
      <c r="C483" t="s">
        <v>81</v>
      </c>
      <c r="D483" t="s">
        <v>623</v>
      </c>
      <c r="E483" s="6">
        <v>102</v>
      </c>
      <c r="F483" s="52">
        <v>28.208833529411766</v>
      </c>
      <c r="H483" s="53"/>
      <c r="J483" s="11" t="s">
        <v>797</v>
      </c>
      <c r="K483" s="6"/>
      <c r="L483" s="6">
        <v>3.2229999999999999</v>
      </c>
    </row>
    <row r="484" spans="2:12" x14ac:dyDescent="0.25">
      <c r="B484" s="11">
        <v>47</v>
      </c>
      <c r="C484" t="s">
        <v>81</v>
      </c>
      <c r="D484" t="s">
        <v>624</v>
      </c>
      <c r="E484" s="6">
        <v>14</v>
      </c>
      <c r="F484" s="52">
        <v>60.961388571428571</v>
      </c>
      <c r="H484" s="53"/>
      <c r="J484" s="11" t="s">
        <v>797</v>
      </c>
      <c r="K484" s="6"/>
      <c r="L484" s="6">
        <v>0.95599999999999996</v>
      </c>
    </row>
    <row r="485" spans="2:12" x14ac:dyDescent="0.25">
      <c r="B485" s="11">
        <v>47</v>
      </c>
      <c r="C485" t="s">
        <v>81</v>
      </c>
      <c r="D485" t="s">
        <v>625</v>
      </c>
      <c r="E485" s="6">
        <v>103</v>
      </c>
      <c r="F485" s="52">
        <v>53.434389320388348</v>
      </c>
      <c r="H485" s="53"/>
      <c r="J485" s="11" t="s">
        <v>797</v>
      </c>
      <c r="K485" s="6"/>
      <c r="L485" s="6">
        <v>6.165</v>
      </c>
    </row>
    <row r="486" spans="2:12" x14ac:dyDescent="0.25">
      <c r="B486" s="11">
        <v>47</v>
      </c>
      <c r="C486" t="s">
        <v>81</v>
      </c>
      <c r="D486" t="s">
        <v>626</v>
      </c>
      <c r="E486" s="6">
        <v>25</v>
      </c>
      <c r="F486" s="52">
        <v>55.349879999999999</v>
      </c>
      <c r="H486" s="53"/>
      <c r="J486" s="11" t="s">
        <v>797</v>
      </c>
      <c r="K486" s="6"/>
      <c r="L486" s="6">
        <v>1.55</v>
      </c>
    </row>
    <row r="487" spans="2:12" x14ac:dyDescent="0.25">
      <c r="B487" s="11">
        <v>47</v>
      </c>
      <c r="C487" t="s">
        <v>81</v>
      </c>
      <c r="D487" t="s">
        <v>627</v>
      </c>
      <c r="E487" s="6">
        <v>45</v>
      </c>
      <c r="F487" s="52">
        <v>29.063646666666671</v>
      </c>
      <c r="H487" s="53"/>
      <c r="J487" s="11" t="s">
        <v>797</v>
      </c>
      <c r="K487" s="6"/>
      <c r="L487" s="6">
        <v>1.4650000000000001</v>
      </c>
    </row>
    <row r="488" spans="2:12" x14ac:dyDescent="0.25">
      <c r="B488" s="11">
        <v>47</v>
      </c>
      <c r="C488" t="s">
        <v>81</v>
      </c>
      <c r="D488" t="s">
        <v>628</v>
      </c>
      <c r="E488" s="6">
        <v>149</v>
      </c>
      <c r="F488" s="52">
        <v>79.999779040113424</v>
      </c>
      <c r="H488" s="53">
        <v>1</v>
      </c>
      <c r="K488" s="6"/>
      <c r="L488" s="6">
        <v>13.352114923692117</v>
      </c>
    </row>
    <row r="489" spans="2:12" x14ac:dyDescent="0.25">
      <c r="B489" s="11">
        <v>47</v>
      </c>
      <c r="C489" t="s">
        <v>81</v>
      </c>
      <c r="D489" t="s">
        <v>629</v>
      </c>
      <c r="E489" s="6">
        <v>202</v>
      </c>
      <c r="F489" s="52">
        <v>52.989864356435646</v>
      </c>
      <c r="H489" s="53"/>
      <c r="J489" s="11" t="s">
        <v>797</v>
      </c>
      <c r="K489" s="6"/>
      <c r="L489" s="6">
        <v>11.99</v>
      </c>
    </row>
    <row r="490" spans="2:12" x14ac:dyDescent="0.25">
      <c r="B490" s="11">
        <v>47</v>
      </c>
      <c r="C490" t="s">
        <v>81</v>
      </c>
      <c r="D490" t="s">
        <v>630</v>
      </c>
      <c r="E490" s="6">
        <v>48</v>
      </c>
      <c r="F490" s="52">
        <v>56.372811249999998</v>
      </c>
      <c r="H490" s="53"/>
      <c r="J490" s="11" t="s">
        <v>797</v>
      </c>
      <c r="K490" s="6"/>
      <c r="L490" s="6">
        <v>3.0310000000000001</v>
      </c>
    </row>
    <row r="491" spans="2:12" x14ac:dyDescent="0.25">
      <c r="B491" s="11">
        <v>47</v>
      </c>
      <c r="C491" t="s">
        <v>81</v>
      </c>
      <c r="D491" t="s">
        <v>631</v>
      </c>
      <c r="E491" s="6">
        <v>191</v>
      </c>
      <c r="F491" s="52">
        <v>48.441661570680637</v>
      </c>
      <c r="H491" s="53"/>
      <c r="J491" s="11" t="s">
        <v>797</v>
      </c>
      <c r="K491" s="6"/>
      <c r="L491" s="6">
        <v>10.364000000000001</v>
      </c>
    </row>
    <row r="492" spans="2:12" x14ac:dyDescent="0.25">
      <c r="B492" s="11">
        <v>47</v>
      </c>
      <c r="C492" t="s">
        <v>81</v>
      </c>
      <c r="D492" t="s">
        <v>632</v>
      </c>
      <c r="E492" s="6">
        <v>14530</v>
      </c>
      <c r="F492" s="52">
        <v>128.03224873090159</v>
      </c>
      <c r="H492" s="53"/>
      <c r="I492" s="11" t="s">
        <v>797</v>
      </c>
      <c r="K492" s="6">
        <v>2080.8090000000002</v>
      </c>
      <c r="L492" s="6">
        <v>3.01</v>
      </c>
    </row>
    <row r="493" spans="2:12" x14ac:dyDescent="0.25">
      <c r="B493" s="11">
        <v>47</v>
      </c>
      <c r="C493" t="s">
        <v>81</v>
      </c>
      <c r="D493" t="s">
        <v>633</v>
      </c>
      <c r="E493" s="6">
        <v>34</v>
      </c>
      <c r="F493" s="52">
        <v>15.990548823529412</v>
      </c>
      <c r="H493" s="53"/>
      <c r="J493" s="11" t="s">
        <v>797</v>
      </c>
      <c r="K493" s="6"/>
      <c r="L493" s="6">
        <v>0.60899999999999999</v>
      </c>
    </row>
    <row r="494" spans="2:12" x14ac:dyDescent="0.25">
      <c r="B494" s="11">
        <v>47</v>
      </c>
      <c r="C494" t="s">
        <v>81</v>
      </c>
      <c r="D494" t="s">
        <v>634</v>
      </c>
      <c r="E494" s="6">
        <v>124</v>
      </c>
      <c r="F494" s="52">
        <v>79.99977904011341</v>
      </c>
      <c r="H494" s="53">
        <v>1</v>
      </c>
      <c r="K494" s="6"/>
      <c r="L494" s="6">
        <v>11.130035130315388</v>
      </c>
    </row>
    <row r="495" spans="2:12" x14ac:dyDescent="0.25">
      <c r="B495" s="11">
        <v>47</v>
      </c>
      <c r="C495" t="s">
        <v>81</v>
      </c>
      <c r="D495" t="s">
        <v>635</v>
      </c>
      <c r="E495" s="6">
        <v>2198</v>
      </c>
      <c r="F495" s="52">
        <v>72.469936296633293</v>
      </c>
      <c r="H495" s="53"/>
      <c r="J495" s="11" t="s">
        <v>797</v>
      </c>
      <c r="K495" s="6"/>
      <c r="L495" s="6">
        <v>178.42699999999999</v>
      </c>
    </row>
    <row r="496" spans="2:12" x14ac:dyDescent="0.25">
      <c r="B496" s="11">
        <v>47</v>
      </c>
      <c r="C496" t="s">
        <v>81</v>
      </c>
      <c r="D496" t="s">
        <v>636</v>
      </c>
      <c r="E496" s="6">
        <v>200</v>
      </c>
      <c r="F496" s="52">
        <v>79.999779040113424</v>
      </c>
      <c r="H496" s="53">
        <v>1</v>
      </c>
      <c r="K496" s="6"/>
      <c r="L496" s="6">
        <v>17.922301910996129</v>
      </c>
    </row>
    <row r="497" spans="2:21" x14ac:dyDescent="0.25">
      <c r="B497" s="11">
        <v>47</v>
      </c>
      <c r="C497" t="s">
        <v>81</v>
      </c>
      <c r="D497" t="s">
        <v>637</v>
      </c>
      <c r="E497" s="6">
        <v>100</v>
      </c>
      <c r="F497" s="52">
        <v>39.999889520056712</v>
      </c>
      <c r="H497" s="53">
        <v>3</v>
      </c>
      <c r="J497" s="11" t="s">
        <v>797</v>
      </c>
      <c r="K497" s="6"/>
      <c r="L497" s="6">
        <v>4.4805754777490323</v>
      </c>
    </row>
    <row r="498" spans="2:21" x14ac:dyDescent="0.25">
      <c r="B498" s="11">
        <v>47</v>
      </c>
      <c r="C498" t="s">
        <v>81</v>
      </c>
      <c r="D498" t="s">
        <v>638</v>
      </c>
      <c r="E498" s="6">
        <v>110</v>
      </c>
      <c r="F498" s="52">
        <v>79.999779040113424</v>
      </c>
      <c r="H498" s="53">
        <v>1</v>
      </c>
      <c r="K498" s="6"/>
      <c r="L498" s="6">
        <v>9.8572660510478709</v>
      </c>
    </row>
    <row r="499" spans="2:21" x14ac:dyDescent="0.25">
      <c r="B499" s="11">
        <v>47</v>
      </c>
      <c r="C499" t="s">
        <v>81</v>
      </c>
      <c r="D499" t="s">
        <v>639</v>
      </c>
      <c r="E499" s="6">
        <v>142</v>
      </c>
      <c r="F499" s="52">
        <v>61.341297042253515</v>
      </c>
      <c r="H499" s="53"/>
      <c r="J499" s="11" t="s">
        <v>797</v>
      </c>
      <c r="K499" s="6"/>
      <c r="L499" s="6">
        <v>9.7569999999999997</v>
      </c>
    </row>
    <row r="500" spans="2:21" x14ac:dyDescent="0.25">
      <c r="B500" s="11">
        <v>47</v>
      </c>
      <c r="C500" t="s">
        <v>81</v>
      </c>
      <c r="D500" t="s">
        <v>640</v>
      </c>
      <c r="E500" s="6">
        <v>58</v>
      </c>
      <c r="F500" s="52">
        <v>64.908354827586209</v>
      </c>
      <c r="H500" s="53"/>
      <c r="J500" s="11" t="s">
        <v>797</v>
      </c>
      <c r="K500" s="6"/>
      <c r="L500" s="6">
        <v>4.2169999999999996</v>
      </c>
    </row>
    <row r="501" spans="2:21" x14ac:dyDescent="0.25">
      <c r="B501" s="11">
        <v>47</v>
      </c>
      <c r="C501" t="s">
        <v>81</v>
      </c>
      <c r="D501" t="s">
        <v>641</v>
      </c>
      <c r="E501" s="6">
        <v>85</v>
      </c>
      <c r="F501" s="52">
        <v>72.679538823529413</v>
      </c>
      <c r="H501" s="53">
        <v>5</v>
      </c>
      <c r="J501" s="11" t="s">
        <v>797</v>
      </c>
      <c r="K501" s="6"/>
      <c r="L501" s="6">
        <v>6.92</v>
      </c>
    </row>
    <row r="502" spans="2:21" x14ac:dyDescent="0.25">
      <c r="B502" s="11">
        <v>47</v>
      </c>
      <c r="C502" t="s">
        <v>81</v>
      </c>
      <c r="D502" t="s">
        <v>642</v>
      </c>
      <c r="E502" s="6">
        <v>22</v>
      </c>
      <c r="F502" s="52">
        <v>69.796036363636361</v>
      </c>
      <c r="H502" s="53"/>
      <c r="J502" s="11" t="s">
        <v>797</v>
      </c>
      <c r="K502" s="6"/>
      <c r="L502" s="6">
        <v>1.72</v>
      </c>
    </row>
    <row r="503" spans="2:21" x14ac:dyDescent="0.25">
      <c r="B503" s="11">
        <v>47</v>
      </c>
      <c r="C503" t="s">
        <v>81</v>
      </c>
      <c r="D503" t="s">
        <v>643</v>
      </c>
      <c r="E503" s="6">
        <v>232.045806462</v>
      </c>
      <c r="F503" s="52">
        <v>79.999779040113424</v>
      </c>
      <c r="H503" s="53">
        <v>1</v>
      </c>
      <c r="K503" s="6"/>
      <c r="L503" s="6">
        <v>20.793975002962704</v>
      </c>
    </row>
    <row r="504" spans="2:21" x14ac:dyDescent="0.25">
      <c r="B504" s="11">
        <v>47</v>
      </c>
      <c r="C504" t="s">
        <v>81</v>
      </c>
      <c r="D504" t="s">
        <v>644</v>
      </c>
      <c r="E504" s="6">
        <v>218</v>
      </c>
      <c r="F504" s="52">
        <v>86.251788440366965</v>
      </c>
      <c r="H504" s="53"/>
      <c r="J504" s="11" t="s">
        <v>797</v>
      </c>
      <c r="K504" s="6"/>
      <c r="L504" s="6">
        <v>21.062000000000001</v>
      </c>
    </row>
    <row r="505" spans="2:21" x14ac:dyDescent="0.25">
      <c r="B505" s="11">
        <v>47</v>
      </c>
      <c r="C505" t="s">
        <v>81</v>
      </c>
      <c r="D505" t="s">
        <v>645</v>
      </c>
      <c r="E505" s="6">
        <v>52</v>
      </c>
      <c r="F505" s="52">
        <v>60.362958461538469</v>
      </c>
      <c r="H505" s="53"/>
      <c r="J505" s="11" t="s">
        <v>797</v>
      </c>
      <c r="K505" s="6"/>
      <c r="L505" s="6">
        <v>3.516</v>
      </c>
    </row>
    <row r="506" spans="2:21" x14ac:dyDescent="0.25">
      <c r="B506" s="11">
        <v>47</v>
      </c>
      <c r="C506" t="s">
        <v>81</v>
      </c>
      <c r="D506" t="s">
        <v>646</v>
      </c>
      <c r="E506" s="6">
        <v>130</v>
      </c>
      <c r="F506" s="52">
        <v>72.009781846153857</v>
      </c>
      <c r="H506" s="53"/>
      <c r="J506" s="11" t="s">
        <v>797</v>
      </c>
      <c r="K506" s="6"/>
      <c r="L506" s="6">
        <v>10.486000000000001</v>
      </c>
    </row>
    <row r="507" spans="2:21" x14ac:dyDescent="0.25">
      <c r="B507" s="11">
        <v>47</v>
      </c>
      <c r="C507" t="s">
        <v>81</v>
      </c>
      <c r="D507" t="s">
        <v>16</v>
      </c>
      <c r="E507" s="6">
        <v>6146.8411501954215</v>
      </c>
      <c r="F507" s="52">
        <v>79.999288022513227</v>
      </c>
      <c r="H507" s="54"/>
      <c r="K507" s="6"/>
      <c r="L507" s="6">
        <v>550.82281225203792</v>
      </c>
    </row>
    <row r="508" spans="2:21" ht="15.75" thickBot="1" x14ac:dyDescent="0.3">
      <c r="B508" s="36"/>
      <c r="C508" s="35"/>
      <c r="D508" s="59" t="s">
        <v>42</v>
      </c>
      <c r="E508" s="55">
        <v>27201.045806462</v>
      </c>
      <c r="F508" s="56"/>
      <c r="G508" s="57"/>
      <c r="H508" s="58"/>
      <c r="I508" s="57"/>
      <c r="J508" s="57"/>
      <c r="K508" s="55">
        <v>2141.8090000000002</v>
      </c>
      <c r="L508" s="55">
        <v>1016.6569150743396</v>
      </c>
      <c r="N508" s="6"/>
      <c r="T508" s="6"/>
      <c r="U508" s="6"/>
    </row>
    <row r="509" spans="2:21" ht="15.75" thickTop="1" x14ac:dyDescent="0.25">
      <c r="B509" s="11">
        <v>49</v>
      </c>
      <c r="C509" t="s">
        <v>81</v>
      </c>
      <c r="D509" t="s">
        <v>647</v>
      </c>
      <c r="E509" s="6">
        <v>609</v>
      </c>
      <c r="F509" s="52">
        <v>114.40411793103451</v>
      </c>
      <c r="G509" s="11">
        <v>11</v>
      </c>
      <c r="H509" s="53">
        <v>2</v>
      </c>
      <c r="K509" s="6"/>
      <c r="L509" s="6">
        <v>78.043000000000006</v>
      </c>
    </row>
    <row r="510" spans="2:21" x14ac:dyDescent="0.25">
      <c r="B510" s="11">
        <v>49</v>
      </c>
      <c r="C510" t="s">
        <v>81</v>
      </c>
      <c r="D510" t="s">
        <v>648</v>
      </c>
      <c r="E510" s="6">
        <v>53</v>
      </c>
      <c r="F510" s="52">
        <v>288.3381758490566</v>
      </c>
      <c r="H510" s="53"/>
      <c r="J510" s="11" t="s">
        <v>797</v>
      </c>
      <c r="K510" s="6"/>
      <c r="L510" s="6">
        <v>17.117999999999999</v>
      </c>
    </row>
    <row r="511" spans="2:21" x14ac:dyDescent="0.25">
      <c r="B511" s="11">
        <v>49</v>
      </c>
      <c r="C511" t="s">
        <v>81</v>
      </c>
      <c r="D511" t="s">
        <v>16</v>
      </c>
      <c r="E511" s="6">
        <v>318.75177304964541</v>
      </c>
      <c r="F511" s="52">
        <v>79.999288022513213</v>
      </c>
      <c r="H511" s="54"/>
      <c r="K511" s="6"/>
      <c r="L511" s="6">
        <v>28.563573346278368</v>
      </c>
    </row>
    <row r="512" spans="2:21" x14ac:dyDescent="0.25">
      <c r="B512" s="11">
        <v>49</v>
      </c>
      <c r="C512" t="s">
        <v>82</v>
      </c>
      <c r="D512" t="s">
        <v>649</v>
      </c>
      <c r="E512" s="6">
        <v>611</v>
      </c>
      <c r="F512" s="52">
        <v>62.243410801963989</v>
      </c>
      <c r="H512" s="53">
        <v>2</v>
      </c>
      <c r="K512" s="6"/>
      <c r="L512" s="6">
        <v>42.6</v>
      </c>
    </row>
    <row r="513" spans="2:12" x14ac:dyDescent="0.25">
      <c r="B513" s="11">
        <v>49</v>
      </c>
      <c r="C513" t="s">
        <v>82</v>
      </c>
      <c r="D513" t="s">
        <v>650</v>
      </c>
      <c r="E513" s="6">
        <v>61</v>
      </c>
      <c r="F513" s="52">
        <v>79.999779040113424</v>
      </c>
      <c r="H513" s="53">
        <v>1</v>
      </c>
      <c r="K513" s="6"/>
      <c r="L513" s="6">
        <v>5.4663020828538196</v>
      </c>
    </row>
    <row r="514" spans="2:12" x14ac:dyDescent="0.25">
      <c r="B514" s="11">
        <v>49</v>
      </c>
      <c r="C514" t="s">
        <v>82</v>
      </c>
      <c r="D514" t="s">
        <v>651</v>
      </c>
      <c r="E514" s="6">
        <v>54</v>
      </c>
      <c r="F514" s="52">
        <v>29.999917140042534</v>
      </c>
      <c r="G514" s="11">
        <v>6</v>
      </c>
      <c r="H514" s="53">
        <v>3</v>
      </c>
      <c r="K514" s="6"/>
      <c r="L514" s="6">
        <v>1.8146330684883583</v>
      </c>
    </row>
    <row r="515" spans="2:12" x14ac:dyDescent="0.25">
      <c r="B515" s="11">
        <v>49</v>
      </c>
      <c r="C515" t="s">
        <v>82</v>
      </c>
      <c r="D515" t="s">
        <v>652</v>
      </c>
      <c r="E515" s="6">
        <v>250</v>
      </c>
      <c r="F515" s="52">
        <v>43.255038479999996</v>
      </c>
      <c r="H515" s="53"/>
      <c r="J515" s="11" t="s">
        <v>797</v>
      </c>
      <c r="K515" s="6"/>
      <c r="L515" s="6">
        <v>12.113</v>
      </c>
    </row>
    <row r="516" spans="2:12" x14ac:dyDescent="0.25">
      <c r="B516" s="11">
        <v>49</v>
      </c>
      <c r="C516" t="s">
        <v>82</v>
      </c>
      <c r="D516" t="s">
        <v>653</v>
      </c>
      <c r="E516" s="6">
        <v>131</v>
      </c>
      <c r="F516" s="52">
        <v>63.398169618320615</v>
      </c>
      <c r="H516" s="53"/>
      <c r="J516" s="11" t="s">
        <v>797</v>
      </c>
      <c r="K516" s="6"/>
      <c r="L516" s="6">
        <v>9.3030000000000008</v>
      </c>
    </row>
    <row r="517" spans="2:12" x14ac:dyDescent="0.25">
      <c r="B517" s="11">
        <v>49</v>
      </c>
      <c r="C517" t="s">
        <v>82</v>
      </c>
      <c r="D517" t="s">
        <v>654</v>
      </c>
      <c r="E517" s="6">
        <v>38</v>
      </c>
      <c r="F517" s="52">
        <v>79.999779040113424</v>
      </c>
      <c r="H517" s="53">
        <v>1</v>
      </c>
      <c r="K517" s="6"/>
      <c r="L517" s="6">
        <v>3.4052373630892649</v>
      </c>
    </row>
    <row r="518" spans="2:12" x14ac:dyDescent="0.25">
      <c r="B518" s="11">
        <v>49</v>
      </c>
      <c r="C518" t="s">
        <v>82</v>
      </c>
      <c r="D518" t="s">
        <v>655</v>
      </c>
      <c r="E518" s="6">
        <v>83922</v>
      </c>
      <c r="F518" s="52">
        <v>93.356124444126678</v>
      </c>
      <c r="G518" s="11">
        <v>4</v>
      </c>
      <c r="H518" s="53">
        <v>4</v>
      </c>
      <c r="I518" s="11" t="s">
        <v>797</v>
      </c>
      <c r="J518" s="11" t="s">
        <v>797</v>
      </c>
      <c r="K518" s="6">
        <v>4336.3599999999997</v>
      </c>
      <c r="L518" s="6">
        <v>4439.58</v>
      </c>
    </row>
    <row r="519" spans="2:12" x14ac:dyDescent="0.25">
      <c r="B519" s="11">
        <v>49</v>
      </c>
      <c r="C519" t="s">
        <v>82</v>
      </c>
      <c r="D519" t="s">
        <v>656</v>
      </c>
      <c r="E519" s="6">
        <v>1067.70686972</v>
      </c>
      <c r="F519" s="52">
        <v>79.999779040113424</v>
      </c>
      <c r="H519" s="53">
        <v>1</v>
      </c>
      <c r="K519" s="6"/>
      <c r="L519" s="6">
        <v>95.678824357832255</v>
      </c>
    </row>
    <row r="520" spans="2:12" x14ac:dyDescent="0.25">
      <c r="B520" s="11">
        <v>49</v>
      </c>
      <c r="C520" t="s">
        <v>82</v>
      </c>
      <c r="D520" t="s">
        <v>657</v>
      </c>
      <c r="E520" s="6">
        <v>405</v>
      </c>
      <c r="F520" s="52">
        <v>69.999806660099253</v>
      </c>
      <c r="G520" s="11">
        <v>6</v>
      </c>
      <c r="H520" s="53">
        <v>1</v>
      </c>
      <c r="K520" s="6"/>
      <c r="L520" s="6">
        <v>31.756078698546268</v>
      </c>
    </row>
    <row r="521" spans="2:12" x14ac:dyDescent="0.25">
      <c r="B521" s="11">
        <v>49</v>
      </c>
      <c r="C521" t="s">
        <v>82</v>
      </c>
      <c r="D521" t="s">
        <v>658</v>
      </c>
      <c r="E521" s="6">
        <v>58</v>
      </c>
      <c r="F521" s="52">
        <v>79.999779040113424</v>
      </c>
      <c r="H521" s="53">
        <v>1</v>
      </c>
      <c r="K521" s="6"/>
      <c r="L521" s="6">
        <v>5.1974675541888775</v>
      </c>
    </row>
    <row r="522" spans="2:12" x14ac:dyDescent="0.25">
      <c r="B522" s="11">
        <v>49</v>
      </c>
      <c r="C522" t="s">
        <v>82</v>
      </c>
      <c r="D522" t="s">
        <v>659</v>
      </c>
      <c r="E522" s="6">
        <v>54</v>
      </c>
      <c r="F522" s="52">
        <v>79.999779040113424</v>
      </c>
      <c r="H522" s="53">
        <v>1</v>
      </c>
      <c r="K522" s="6"/>
      <c r="L522" s="6">
        <v>4.8390215159689554</v>
      </c>
    </row>
    <row r="523" spans="2:12" x14ac:dyDescent="0.25">
      <c r="B523" s="11">
        <v>49</v>
      </c>
      <c r="C523" t="s">
        <v>82</v>
      </c>
      <c r="D523" t="s">
        <v>660</v>
      </c>
      <c r="E523" s="6">
        <v>272</v>
      </c>
      <c r="F523" s="52">
        <v>45.959699338235296</v>
      </c>
      <c r="H523" s="53"/>
      <c r="J523" s="11" t="s">
        <v>797</v>
      </c>
      <c r="K523" s="6"/>
      <c r="L523" s="6">
        <v>14.003</v>
      </c>
    </row>
    <row r="524" spans="2:12" x14ac:dyDescent="0.25">
      <c r="B524" s="11">
        <v>49</v>
      </c>
      <c r="C524" t="s">
        <v>82</v>
      </c>
      <c r="D524" t="s">
        <v>661</v>
      </c>
      <c r="E524" s="6">
        <v>5793</v>
      </c>
      <c r="F524" s="52">
        <v>79.782723656136724</v>
      </c>
      <c r="H524" s="53"/>
      <c r="J524" s="11" t="s">
        <v>797</v>
      </c>
      <c r="K524" s="6"/>
      <c r="L524" s="6">
        <v>517.71100000000001</v>
      </c>
    </row>
    <row r="525" spans="2:12" x14ac:dyDescent="0.25">
      <c r="B525" s="11">
        <v>49</v>
      </c>
      <c r="C525" t="s">
        <v>82</v>
      </c>
      <c r="D525" t="s">
        <v>662</v>
      </c>
      <c r="E525" s="6">
        <v>2147.6036962399999</v>
      </c>
      <c r="F525" s="52">
        <v>171.68047375105499</v>
      </c>
      <c r="G525" s="11">
        <v>2</v>
      </c>
      <c r="H525" s="53"/>
      <c r="J525" s="11" t="s">
        <v>797</v>
      </c>
      <c r="K525" s="6"/>
      <c r="L525" s="6">
        <v>413</v>
      </c>
    </row>
    <row r="526" spans="2:12" x14ac:dyDescent="0.25">
      <c r="B526" s="11">
        <v>49</v>
      </c>
      <c r="C526" t="s">
        <v>82</v>
      </c>
      <c r="D526" t="s">
        <v>663</v>
      </c>
      <c r="E526" s="6">
        <v>6061.5744534599999</v>
      </c>
      <c r="F526" s="52">
        <v>82.720480008917008</v>
      </c>
      <c r="H526" s="53">
        <v>5</v>
      </c>
      <c r="J526" s="11" t="s">
        <v>797</v>
      </c>
      <c r="K526" s="6"/>
      <c r="L526" s="6">
        <v>561.66</v>
      </c>
    </row>
    <row r="527" spans="2:12" x14ac:dyDescent="0.25">
      <c r="B527" s="11">
        <v>49</v>
      </c>
      <c r="C527" t="s">
        <v>82</v>
      </c>
      <c r="D527" t="s">
        <v>664</v>
      </c>
      <c r="E527" s="6">
        <v>3920</v>
      </c>
      <c r="F527" s="52">
        <v>59.727038877551017</v>
      </c>
      <c r="H527" s="53"/>
      <c r="J527" s="11" t="s">
        <v>797</v>
      </c>
      <c r="K527" s="6"/>
      <c r="L527" s="6">
        <v>262.26</v>
      </c>
    </row>
    <row r="528" spans="2:12" x14ac:dyDescent="0.25">
      <c r="B528" s="11">
        <v>49</v>
      </c>
      <c r="C528" t="s">
        <v>82</v>
      </c>
      <c r="D528" t="s">
        <v>665</v>
      </c>
      <c r="E528" s="6">
        <v>172</v>
      </c>
      <c r="F528" s="52">
        <v>71.471103488372094</v>
      </c>
      <c r="H528" s="53"/>
      <c r="J528" s="11" t="s">
        <v>797</v>
      </c>
      <c r="K528" s="6"/>
      <c r="L528" s="6">
        <v>13.77</v>
      </c>
    </row>
    <row r="529" spans="2:12" x14ac:dyDescent="0.25">
      <c r="B529" s="11">
        <v>49</v>
      </c>
      <c r="C529" t="s">
        <v>82</v>
      </c>
      <c r="D529" t="s">
        <v>666</v>
      </c>
      <c r="E529" s="6">
        <v>35</v>
      </c>
      <c r="F529" s="52">
        <v>79.999779040113424</v>
      </c>
      <c r="H529" s="53">
        <v>1</v>
      </c>
      <c r="K529" s="6"/>
      <c r="L529" s="6">
        <v>3.1364028344243229</v>
      </c>
    </row>
    <row r="530" spans="2:12" x14ac:dyDescent="0.25">
      <c r="B530" s="11">
        <v>49</v>
      </c>
      <c r="C530" t="s">
        <v>82</v>
      </c>
      <c r="D530" t="s">
        <v>667</v>
      </c>
      <c r="E530" s="6">
        <v>167</v>
      </c>
      <c r="F530" s="52">
        <v>35.110876167664671</v>
      </c>
      <c r="H530" s="53"/>
      <c r="J530" s="11" t="s">
        <v>797</v>
      </c>
      <c r="K530" s="6"/>
      <c r="L530" s="6">
        <v>6.5679999999999996</v>
      </c>
    </row>
    <row r="531" spans="2:12" x14ac:dyDescent="0.25">
      <c r="B531" s="11">
        <v>49</v>
      </c>
      <c r="C531" t="s">
        <v>82</v>
      </c>
      <c r="D531" t="s">
        <v>668</v>
      </c>
      <c r="E531" s="6">
        <v>178</v>
      </c>
      <c r="F531" s="52">
        <v>79.999779040113424</v>
      </c>
      <c r="H531" s="53">
        <v>1</v>
      </c>
      <c r="K531" s="6"/>
      <c r="L531" s="6">
        <v>15.950848700786556</v>
      </c>
    </row>
    <row r="532" spans="2:12" x14ac:dyDescent="0.25">
      <c r="B532" s="11">
        <v>49</v>
      </c>
      <c r="C532" t="s">
        <v>82</v>
      </c>
      <c r="D532" t="s">
        <v>669</v>
      </c>
      <c r="E532" s="6">
        <v>56</v>
      </c>
      <c r="F532" s="52">
        <v>79.999779040113424</v>
      </c>
      <c r="H532" s="53">
        <v>1</v>
      </c>
      <c r="K532" s="6"/>
      <c r="L532" s="6">
        <v>5.0182445350789164</v>
      </c>
    </row>
    <row r="533" spans="2:12" x14ac:dyDescent="0.25">
      <c r="B533" s="11">
        <v>49</v>
      </c>
      <c r="C533" t="s">
        <v>82</v>
      </c>
      <c r="D533" t="s">
        <v>670</v>
      </c>
      <c r="E533" s="6">
        <v>65</v>
      </c>
      <c r="F533" s="52">
        <v>79.999779040113424</v>
      </c>
      <c r="H533" s="53">
        <v>1</v>
      </c>
      <c r="K533" s="6"/>
      <c r="L533" s="6">
        <v>5.8247481210737426</v>
      </c>
    </row>
    <row r="534" spans="2:12" x14ac:dyDescent="0.25">
      <c r="B534" s="11">
        <v>49</v>
      </c>
      <c r="C534" t="s">
        <v>82</v>
      </c>
      <c r="D534" t="s">
        <v>671</v>
      </c>
      <c r="E534" s="6">
        <v>26</v>
      </c>
      <c r="F534" s="52">
        <v>79.999779040113438</v>
      </c>
      <c r="H534" s="53">
        <v>1</v>
      </c>
      <c r="K534" s="6"/>
      <c r="L534" s="6">
        <v>2.3298992484294971</v>
      </c>
    </row>
    <row r="535" spans="2:12" x14ac:dyDescent="0.25">
      <c r="B535" s="11">
        <v>49</v>
      </c>
      <c r="C535" t="s">
        <v>82</v>
      </c>
      <c r="D535" t="s">
        <v>672</v>
      </c>
      <c r="E535" s="6">
        <v>525</v>
      </c>
      <c r="F535" s="52">
        <v>47.194487542857146</v>
      </c>
      <c r="H535" s="53"/>
      <c r="J535" s="11" t="s">
        <v>797</v>
      </c>
      <c r="K535" s="6"/>
      <c r="L535" s="6">
        <v>27.754000000000001</v>
      </c>
    </row>
    <row r="536" spans="2:12" x14ac:dyDescent="0.25">
      <c r="B536" s="11">
        <v>49</v>
      </c>
      <c r="C536" t="s">
        <v>82</v>
      </c>
      <c r="D536" t="s">
        <v>673</v>
      </c>
      <c r="E536" s="6">
        <v>40</v>
      </c>
      <c r="F536" s="52">
        <v>126.32271000000001</v>
      </c>
      <c r="H536" s="53"/>
      <c r="J536" s="11" t="s">
        <v>797</v>
      </c>
      <c r="K536" s="6"/>
      <c r="L536" s="6">
        <v>5.66</v>
      </c>
    </row>
    <row r="537" spans="2:12" x14ac:dyDescent="0.25">
      <c r="B537" s="11">
        <v>49</v>
      </c>
      <c r="C537" t="s">
        <v>82</v>
      </c>
      <c r="D537" t="s">
        <v>674</v>
      </c>
      <c r="E537" s="6">
        <v>132</v>
      </c>
      <c r="F537" s="52">
        <v>72.494545909090903</v>
      </c>
      <c r="H537" s="53">
        <v>1</v>
      </c>
      <c r="J537" s="11" t="s">
        <v>797</v>
      </c>
      <c r="K537" s="6"/>
      <c r="L537" s="6">
        <v>10.718999999999999</v>
      </c>
    </row>
    <row r="538" spans="2:12" x14ac:dyDescent="0.25">
      <c r="B538" s="11">
        <v>49</v>
      </c>
      <c r="C538" t="s">
        <v>82</v>
      </c>
      <c r="D538" t="s">
        <v>675</v>
      </c>
      <c r="E538" s="6">
        <v>898.24676680100004</v>
      </c>
      <c r="F538" s="52">
        <v>359.54617962076082</v>
      </c>
      <c r="G538" s="11">
        <v>6</v>
      </c>
      <c r="H538" s="53"/>
      <c r="I538" s="11" t="s">
        <v>797</v>
      </c>
      <c r="K538" s="6">
        <v>361.76400000000001</v>
      </c>
      <c r="L538" s="6"/>
    </row>
    <row r="539" spans="2:12" x14ac:dyDescent="0.25">
      <c r="B539" s="11">
        <v>49</v>
      </c>
      <c r="C539" t="s">
        <v>82</v>
      </c>
      <c r="D539" t="s">
        <v>676</v>
      </c>
      <c r="E539" s="6">
        <v>77</v>
      </c>
      <c r="F539" s="52">
        <v>79.999779040113424</v>
      </c>
      <c r="H539" s="53">
        <v>1</v>
      </c>
      <c r="K539" s="6"/>
      <c r="L539" s="6">
        <v>6.90008623573351</v>
      </c>
    </row>
    <row r="540" spans="2:12" x14ac:dyDescent="0.25">
      <c r="B540" s="11">
        <v>49</v>
      </c>
      <c r="C540" t="s">
        <v>82</v>
      </c>
      <c r="D540" t="s">
        <v>677</v>
      </c>
      <c r="E540" s="6">
        <v>219</v>
      </c>
      <c r="F540" s="52">
        <v>46.406174246575347</v>
      </c>
      <c r="H540" s="53"/>
      <c r="J540" s="11" t="s">
        <v>797</v>
      </c>
      <c r="K540" s="6"/>
      <c r="L540" s="6">
        <v>11.384</v>
      </c>
    </row>
    <row r="541" spans="2:12" x14ac:dyDescent="0.25">
      <c r="B541" s="11">
        <v>49</v>
      </c>
      <c r="C541" t="s">
        <v>82</v>
      </c>
      <c r="D541" t="s">
        <v>678</v>
      </c>
      <c r="E541" s="6">
        <v>160</v>
      </c>
      <c r="F541" s="52">
        <v>79.085604750000002</v>
      </c>
      <c r="H541" s="53"/>
      <c r="J541" s="11" t="s">
        <v>797</v>
      </c>
      <c r="K541" s="6"/>
      <c r="L541" s="6">
        <v>14.173999999999999</v>
      </c>
    </row>
    <row r="542" spans="2:12" x14ac:dyDescent="0.25">
      <c r="B542" s="11">
        <v>49</v>
      </c>
      <c r="C542" t="s">
        <v>82</v>
      </c>
      <c r="D542" t="s">
        <v>679</v>
      </c>
      <c r="E542" s="6">
        <v>94</v>
      </c>
      <c r="F542" s="52">
        <v>83.594654042553188</v>
      </c>
      <c r="H542" s="53"/>
      <c r="J542" s="11" t="s">
        <v>797</v>
      </c>
      <c r="K542" s="6"/>
      <c r="L542" s="6">
        <v>8.8019999999999996</v>
      </c>
    </row>
    <row r="543" spans="2:12" x14ac:dyDescent="0.25">
      <c r="B543" s="11">
        <v>49</v>
      </c>
      <c r="C543" t="s">
        <v>82</v>
      </c>
      <c r="D543" t="s">
        <v>680</v>
      </c>
      <c r="E543" s="6">
        <v>122</v>
      </c>
      <c r="F543" s="52">
        <v>57.611000163934428</v>
      </c>
      <c r="H543" s="53"/>
      <c r="J543" s="11" t="s">
        <v>797</v>
      </c>
      <c r="K543" s="6"/>
      <c r="L543" s="6">
        <v>7.8730000000000002</v>
      </c>
    </row>
    <row r="544" spans="2:12" x14ac:dyDescent="0.25">
      <c r="B544" s="11">
        <v>49</v>
      </c>
      <c r="C544" t="s">
        <v>82</v>
      </c>
      <c r="D544" t="s">
        <v>681</v>
      </c>
      <c r="E544" s="6">
        <v>130</v>
      </c>
      <c r="F544" s="52">
        <v>79.999779040113424</v>
      </c>
      <c r="H544" s="53">
        <v>1</v>
      </c>
      <c r="K544" s="6"/>
      <c r="L544" s="6">
        <v>11.649496242147485</v>
      </c>
    </row>
    <row r="545" spans="2:21" x14ac:dyDescent="0.25">
      <c r="B545" s="11">
        <v>49</v>
      </c>
      <c r="C545" t="s">
        <v>82</v>
      </c>
      <c r="D545" t="s">
        <v>682</v>
      </c>
      <c r="E545" s="6">
        <v>353.78313153699997</v>
      </c>
      <c r="F545" s="52">
        <v>45.671203117580426</v>
      </c>
      <c r="H545" s="53"/>
      <c r="J545" s="11" t="s">
        <v>797</v>
      </c>
      <c r="K545" s="6"/>
      <c r="L545" s="6">
        <v>18.099</v>
      </c>
    </row>
    <row r="546" spans="2:21" x14ac:dyDescent="0.25">
      <c r="B546" s="11">
        <v>49</v>
      </c>
      <c r="C546" t="s">
        <v>82</v>
      </c>
      <c r="D546" t="s">
        <v>683</v>
      </c>
      <c r="E546" s="6">
        <v>10025</v>
      </c>
      <c r="F546" s="52">
        <v>221.86125136159603</v>
      </c>
      <c r="G546" s="11">
        <v>6</v>
      </c>
      <c r="H546" s="53"/>
      <c r="I546" s="11" t="s">
        <v>797</v>
      </c>
      <c r="J546" s="11" t="s">
        <v>797</v>
      </c>
      <c r="K546" s="6">
        <v>2487.1860000000001</v>
      </c>
      <c r="L546" s="6">
        <v>4.1989999999999998</v>
      </c>
    </row>
    <row r="547" spans="2:21" x14ac:dyDescent="0.25">
      <c r="B547" s="11">
        <v>49</v>
      </c>
      <c r="C547" t="s">
        <v>82</v>
      </c>
      <c r="D547" t="s">
        <v>684</v>
      </c>
      <c r="E547" s="6">
        <v>200</v>
      </c>
      <c r="F547" s="52">
        <v>79.999779040113424</v>
      </c>
      <c r="H547" s="53">
        <v>1</v>
      </c>
      <c r="K547" s="6"/>
      <c r="L547" s="6">
        <v>17.922301910996129</v>
      </c>
    </row>
    <row r="548" spans="2:21" x14ac:dyDescent="0.25">
      <c r="B548" s="11">
        <v>49</v>
      </c>
      <c r="C548" t="s">
        <v>82</v>
      </c>
      <c r="D548" t="s">
        <v>685</v>
      </c>
      <c r="E548" s="6">
        <v>72</v>
      </c>
      <c r="F548" s="52">
        <v>128.95133333333334</v>
      </c>
      <c r="H548" s="53"/>
      <c r="J548" s="11" t="s">
        <v>797</v>
      </c>
      <c r="K548" s="6"/>
      <c r="L548" s="6">
        <v>10.4</v>
      </c>
    </row>
    <row r="549" spans="2:21" x14ac:dyDescent="0.25">
      <c r="B549" s="11">
        <v>49</v>
      </c>
      <c r="C549" t="s">
        <v>82</v>
      </c>
      <c r="D549" t="s">
        <v>686</v>
      </c>
      <c r="E549" s="6">
        <v>35</v>
      </c>
      <c r="F549" s="52">
        <v>79.999779040113424</v>
      </c>
      <c r="H549" s="53">
        <v>1</v>
      </c>
      <c r="K549" s="6"/>
      <c r="L549" s="6">
        <v>3.1364028344243229</v>
      </c>
    </row>
    <row r="550" spans="2:21" x14ac:dyDescent="0.25">
      <c r="B550" s="11">
        <v>49</v>
      </c>
      <c r="C550" t="s">
        <v>82</v>
      </c>
      <c r="D550" t="s">
        <v>687</v>
      </c>
      <c r="E550" s="6">
        <v>49</v>
      </c>
      <c r="F550" s="52">
        <v>76.502352244897963</v>
      </c>
      <c r="H550" s="53"/>
      <c r="J550" s="11" t="s">
        <v>797</v>
      </c>
      <c r="K550" s="6"/>
      <c r="L550" s="6">
        <v>4.1989999999999998</v>
      </c>
    </row>
    <row r="551" spans="2:21" x14ac:dyDescent="0.25">
      <c r="B551" s="11">
        <v>49</v>
      </c>
      <c r="C551" t="s">
        <v>82</v>
      </c>
      <c r="D551" t="s">
        <v>688</v>
      </c>
      <c r="E551" s="6">
        <v>1018</v>
      </c>
      <c r="F551" s="52">
        <v>170.9421709037328</v>
      </c>
      <c r="H551" s="53"/>
      <c r="J551" s="11" t="s">
        <v>797</v>
      </c>
      <c r="K551" s="6"/>
      <c r="L551" s="6">
        <v>194.92699999999999</v>
      </c>
    </row>
    <row r="552" spans="2:21" x14ac:dyDescent="0.25">
      <c r="B552" s="11">
        <v>49</v>
      </c>
      <c r="C552" t="s">
        <v>82</v>
      </c>
      <c r="D552" t="s">
        <v>689</v>
      </c>
      <c r="E552" s="6">
        <v>258</v>
      </c>
      <c r="F552" s="52">
        <v>65.637151395348852</v>
      </c>
      <c r="H552" s="53"/>
      <c r="J552" s="11" t="s">
        <v>797</v>
      </c>
      <c r="K552" s="6"/>
      <c r="L552" s="6">
        <v>18.969000000000001</v>
      </c>
    </row>
    <row r="553" spans="2:21" x14ac:dyDescent="0.25">
      <c r="B553" s="11">
        <v>49</v>
      </c>
      <c r="C553" t="s">
        <v>82</v>
      </c>
      <c r="D553" t="s">
        <v>796</v>
      </c>
      <c r="E553" s="6">
        <v>200</v>
      </c>
      <c r="F553" s="52">
        <v>66.866226000000012</v>
      </c>
      <c r="H553" s="53"/>
      <c r="J553" s="11" t="s">
        <v>797</v>
      </c>
      <c r="K553" s="6"/>
      <c r="L553" s="6">
        <v>14.98</v>
      </c>
    </row>
    <row r="554" spans="2:21" x14ac:dyDescent="0.25">
      <c r="B554" s="11">
        <v>49</v>
      </c>
      <c r="C554" t="s">
        <v>82</v>
      </c>
      <c r="D554" t="s">
        <v>690</v>
      </c>
      <c r="E554" s="6">
        <v>109</v>
      </c>
      <c r="F554" s="52">
        <v>49.633067889908254</v>
      </c>
      <c r="H554" s="53">
        <v>5</v>
      </c>
      <c r="J554" s="11" t="s">
        <v>797</v>
      </c>
      <c r="K554" s="6"/>
      <c r="L554" s="6">
        <v>6.06</v>
      </c>
    </row>
    <row r="555" spans="2:21" x14ac:dyDescent="0.25">
      <c r="B555" s="11">
        <v>49</v>
      </c>
      <c r="C555" t="s">
        <v>82</v>
      </c>
      <c r="D555" t="s">
        <v>691</v>
      </c>
      <c r="E555" s="6">
        <v>132</v>
      </c>
      <c r="F555" s="52">
        <v>119.99966856017014</v>
      </c>
      <c r="H555" s="53">
        <v>3</v>
      </c>
      <c r="J555" s="11" t="s">
        <v>797</v>
      </c>
      <c r="K555" s="6"/>
      <c r="L555" s="6">
        <v>17.743078891886167</v>
      </c>
    </row>
    <row r="556" spans="2:21" x14ac:dyDescent="0.25">
      <c r="B556" s="11">
        <v>49</v>
      </c>
      <c r="C556" t="s">
        <v>82</v>
      </c>
      <c r="D556" t="s">
        <v>692</v>
      </c>
      <c r="E556" s="6">
        <v>59</v>
      </c>
      <c r="F556" s="52">
        <v>79.999779040113424</v>
      </c>
      <c r="H556" s="53">
        <v>1</v>
      </c>
      <c r="K556" s="6"/>
      <c r="L556" s="6">
        <v>5.2870790637438585</v>
      </c>
    </row>
    <row r="557" spans="2:21" x14ac:dyDescent="0.25">
      <c r="B557" s="11">
        <v>49</v>
      </c>
      <c r="C557" t="s">
        <v>82</v>
      </c>
      <c r="D557" t="s">
        <v>16</v>
      </c>
      <c r="E557" s="6">
        <v>33389.248226950353</v>
      </c>
      <c r="F557" s="52">
        <v>81.934424911276196</v>
      </c>
      <c r="H557" s="54"/>
      <c r="K557" s="6"/>
      <c r="L557" s="6">
        <v>3064.4099016688124</v>
      </c>
    </row>
    <row r="558" spans="2:21" ht="15.75" thickBot="1" x14ac:dyDescent="0.3">
      <c r="B558" s="36"/>
      <c r="C558" s="35"/>
      <c r="D558" s="59" t="s">
        <v>42</v>
      </c>
      <c r="E558" s="55">
        <v>154822.914917758</v>
      </c>
      <c r="F558" s="56"/>
      <c r="G558" s="57"/>
      <c r="H558" s="58"/>
      <c r="I558" s="57"/>
      <c r="J558" s="57"/>
      <c r="K558" s="55">
        <v>7185.3099999999995</v>
      </c>
      <c r="L558" s="55">
        <v>10081.95762827478</v>
      </c>
      <c r="N558" s="6"/>
      <c r="T558" s="6"/>
      <c r="U558" s="6"/>
    </row>
    <row r="559" spans="2:21" ht="15.75" thickTop="1" x14ac:dyDescent="0.25">
      <c r="B559" s="11">
        <v>51</v>
      </c>
      <c r="C559" t="s">
        <v>82</v>
      </c>
      <c r="D559" t="s">
        <v>693</v>
      </c>
      <c r="E559" s="6">
        <v>48</v>
      </c>
      <c r="F559" s="52">
        <v>35.932785000000003</v>
      </c>
      <c r="H559" s="53"/>
      <c r="J559" s="11" t="s">
        <v>797</v>
      </c>
      <c r="K559" s="6"/>
      <c r="L559" s="6">
        <v>1.9319999999999999</v>
      </c>
    </row>
    <row r="560" spans="2:21" x14ac:dyDescent="0.25">
      <c r="B560" s="11">
        <v>51</v>
      </c>
      <c r="C560" t="s">
        <v>82</v>
      </c>
      <c r="D560" t="s">
        <v>694</v>
      </c>
      <c r="E560" s="6">
        <v>759</v>
      </c>
      <c r="F560" s="52">
        <v>98.689525296442682</v>
      </c>
      <c r="H560" s="53"/>
      <c r="J560" s="11" t="s">
        <v>797</v>
      </c>
      <c r="K560" s="6"/>
      <c r="L560" s="6">
        <v>83.905000000000001</v>
      </c>
    </row>
    <row r="561" spans="2:21" x14ac:dyDescent="0.25">
      <c r="B561" s="11">
        <v>51</v>
      </c>
      <c r="C561" t="s">
        <v>82</v>
      </c>
      <c r="D561" t="s">
        <v>695</v>
      </c>
      <c r="E561" s="6">
        <v>48</v>
      </c>
      <c r="F561" s="52">
        <v>79.999779040113424</v>
      </c>
      <c r="H561" s="53">
        <v>1</v>
      </c>
      <c r="K561" s="6"/>
      <c r="L561" s="6">
        <v>4.3013524586390712</v>
      </c>
    </row>
    <row r="562" spans="2:21" x14ac:dyDescent="0.25">
      <c r="B562" s="11">
        <v>51</v>
      </c>
      <c r="C562" t="s">
        <v>82</v>
      </c>
      <c r="D562" t="s">
        <v>696</v>
      </c>
      <c r="E562" s="6">
        <v>1431</v>
      </c>
      <c r="F562" s="52">
        <v>105.24475052410901</v>
      </c>
      <c r="H562" s="53"/>
      <c r="J562" s="11" t="s">
        <v>797</v>
      </c>
      <c r="K562" s="6"/>
      <c r="L562" s="6">
        <v>168.7</v>
      </c>
    </row>
    <row r="563" spans="2:21" x14ac:dyDescent="0.25">
      <c r="B563" s="11">
        <v>51</v>
      </c>
      <c r="C563" t="s">
        <v>82</v>
      </c>
      <c r="D563" t="s">
        <v>697</v>
      </c>
      <c r="E563" s="6">
        <v>979</v>
      </c>
      <c r="F563" s="52">
        <v>94.102966531562814</v>
      </c>
      <c r="H563" s="53"/>
      <c r="J563" s="11" t="s">
        <v>797</v>
      </c>
      <c r="K563" s="6"/>
      <c r="L563" s="6">
        <v>103.19556</v>
      </c>
    </row>
    <row r="564" spans="2:21" x14ac:dyDescent="0.25">
      <c r="B564" s="11">
        <v>51</v>
      </c>
      <c r="C564" t="s">
        <v>82</v>
      </c>
      <c r="D564" t="s">
        <v>698</v>
      </c>
      <c r="E564" s="6">
        <v>185</v>
      </c>
      <c r="F564" s="52">
        <v>61.420512000000002</v>
      </c>
      <c r="G564" s="11">
        <v>6</v>
      </c>
      <c r="H564" s="53"/>
      <c r="J564" s="11" t="s">
        <v>797</v>
      </c>
      <c r="K564" s="6"/>
      <c r="L564" s="6">
        <v>12.728</v>
      </c>
    </row>
    <row r="565" spans="2:21" x14ac:dyDescent="0.25">
      <c r="B565" s="11">
        <v>51</v>
      </c>
      <c r="C565" t="s">
        <v>82</v>
      </c>
      <c r="D565" t="s">
        <v>699</v>
      </c>
      <c r="E565" s="6">
        <v>63</v>
      </c>
      <c r="F565" s="52">
        <v>79.999779040113424</v>
      </c>
      <c r="H565" s="53">
        <v>1</v>
      </c>
      <c r="K565" s="6"/>
      <c r="L565" s="6">
        <v>5.6455251019637807</v>
      </c>
    </row>
    <row r="566" spans="2:21" x14ac:dyDescent="0.25">
      <c r="B566" s="11">
        <v>51</v>
      </c>
      <c r="C566" t="s">
        <v>82</v>
      </c>
      <c r="D566" t="s">
        <v>700</v>
      </c>
      <c r="E566" s="6">
        <v>125</v>
      </c>
      <c r="F566" s="52">
        <v>91.580840160000008</v>
      </c>
      <c r="H566" s="53"/>
      <c r="J566" s="11" t="s">
        <v>797</v>
      </c>
      <c r="K566" s="6"/>
      <c r="L566" s="6">
        <v>12.823</v>
      </c>
    </row>
    <row r="567" spans="2:21" x14ac:dyDescent="0.25">
      <c r="B567" s="11">
        <v>51</v>
      </c>
      <c r="C567" t="s">
        <v>82</v>
      </c>
      <c r="D567" t="s">
        <v>701</v>
      </c>
      <c r="E567" s="6">
        <v>25</v>
      </c>
      <c r="F567" s="52">
        <v>79.999779040113424</v>
      </c>
      <c r="H567" s="53">
        <v>1</v>
      </c>
      <c r="K567" s="6"/>
      <c r="L567" s="6">
        <v>2.2402877388745162</v>
      </c>
    </row>
    <row r="568" spans="2:21" x14ac:dyDescent="0.25">
      <c r="B568" s="11">
        <v>51</v>
      </c>
      <c r="C568" t="s">
        <v>82</v>
      </c>
      <c r="D568" t="s">
        <v>702</v>
      </c>
      <c r="E568" s="6">
        <v>6521</v>
      </c>
      <c r="F568" s="52">
        <v>205.03572311915352</v>
      </c>
      <c r="G568" s="11">
        <v>4</v>
      </c>
      <c r="H568" s="53"/>
      <c r="J568" s="11" t="s">
        <v>797</v>
      </c>
      <c r="K568" s="6"/>
      <c r="L568" s="6">
        <v>1497.6790000000001</v>
      </c>
    </row>
    <row r="569" spans="2:21" x14ac:dyDescent="0.25">
      <c r="B569" s="11">
        <v>51</v>
      </c>
      <c r="C569" t="s">
        <v>82</v>
      </c>
      <c r="D569" t="s">
        <v>16</v>
      </c>
      <c r="E569" s="6">
        <v>1392</v>
      </c>
      <c r="F569" s="52">
        <v>79.999288022513213</v>
      </c>
      <c r="H569" s="54"/>
      <c r="K569" s="6"/>
      <c r="L569" s="6">
        <v>124.738111156567</v>
      </c>
    </row>
    <row r="570" spans="2:21" ht="15.75" thickBot="1" x14ac:dyDescent="0.3">
      <c r="B570" s="36"/>
      <c r="C570" s="35"/>
      <c r="D570" s="59" t="s">
        <v>42</v>
      </c>
      <c r="E570" s="55">
        <v>11576</v>
      </c>
      <c r="F570" s="56"/>
      <c r="G570" s="57"/>
      <c r="H570" s="58"/>
      <c r="I570" s="57"/>
      <c r="J570" s="57"/>
      <c r="K570" s="55">
        <v>0</v>
      </c>
      <c r="L570" s="55">
        <v>2017.8878364560444</v>
      </c>
      <c r="N570" s="6"/>
      <c r="T570" s="6"/>
      <c r="U570" s="6"/>
    </row>
    <row r="571" spans="2:21" ht="15.75" thickTop="1" x14ac:dyDescent="0.25">
      <c r="B571" s="11">
        <v>53</v>
      </c>
      <c r="C571" t="s">
        <v>82</v>
      </c>
      <c r="D571" t="s">
        <v>703</v>
      </c>
      <c r="E571" s="6">
        <v>246</v>
      </c>
      <c r="F571" s="52">
        <v>79.999779040113424</v>
      </c>
      <c r="H571" s="53">
        <v>1</v>
      </c>
      <c r="K571" s="6"/>
      <c r="L571" s="6">
        <v>22.04443135052524</v>
      </c>
    </row>
    <row r="572" spans="2:21" x14ac:dyDescent="0.25">
      <c r="B572" s="11">
        <v>53</v>
      </c>
      <c r="C572" t="s">
        <v>82</v>
      </c>
      <c r="D572" t="s">
        <v>704</v>
      </c>
      <c r="E572" s="6">
        <v>896</v>
      </c>
      <c r="F572" s="52">
        <v>79.999779040113424</v>
      </c>
      <c r="H572" s="53">
        <v>1</v>
      </c>
      <c r="K572" s="6"/>
      <c r="L572" s="6">
        <v>80.291912561262663</v>
      </c>
    </row>
    <row r="573" spans="2:21" x14ac:dyDescent="0.25">
      <c r="B573" s="11">
        <v>53</v>
      </c>
      <c r="C573" t="s">
        <v>82</v>
      </c>
      <c r="D573" t="s">
        <v>705</v>
      </c>
      <c r="E573" s="6">
        <v>42</v>
      </c>
      <c r="F573" s="52">
        <v>79.999779040113424</v>
      </c>
      <c r="H573" s="53">
        <v>1</v>
      </c>
      <c r="K573" s="6"/>
      <c r="L573" s="6">
        <v>3.7636834013091875</v>
      </c>
    </row>
    <row r="574" spans="2:21" x14ac:dyDescent="0.25">
      <c r="B574" s="11">
        <v>53</v>
      </c>
      <c r="C574" t="s">
        <v>82</v>
      </c>
      <c r="D574" t="s">
        <v>706</v>
      </c>
      <c r="E574" s="6">
        <v>1840</v>
      </c>
      <c r="F574" s="52">
        <v>104.6237909673913</v>
      </c>
      <c r="H574" s="53"/>
      <c r="J574" s="11" t="s">
        <v>797</v>
      </c>
      <c r="K574" s="6"/>
      <c r="L574" s="6">
        <v>215.637</v>
      </c>
    </row>
    <row r="575" spans="2:21" x14ac:dyDescent="0.25">
      <c r="B575" s="11">
        <v>53</v>
      </c>
      <c r="C575" t="s">
        <v>82</v>
      </c>
      <c r="D575" t="s">
        <v>707</v>
      </c>
      <c r="E575" s="6">
        <v>180</v>
      </c>
      <c r="F575" s="52">
        <v>83.694375000000008</v>
      </c>
      <c r="H575" s="53"/>
      <c r="J575" s="11" t="s">
        <v>797</v>
      </c>
      <c r="K575" s="6"/>
      <c r="L575" s="6">
        <v>16.875</v>
      </c>
    </row>
    <row r="576" spans="2:21" x14ac:dyDescent="0.25">
      <c r="B576" s="11">
        <v>53</v>
      </c>
      <c r="C576" t="s">
        <v>82</v>
      </c>
      <c r="D576" t="s">
        <v>708</v>
      </c>
      <c r="E576" s="6">
        <v>1239</v>
      </c>
      <c r="F576" s="52">
        <v>113.19352363196127</v>
      </c>
      <c r="H576" s="53"/>
      <c r="J576" s="11" t="s">
        <v>797</v>
      </c>
      <c r="K576" s="6"/>
      <c r="L576" s="6">
        <v>157.09700000000001</v>
      </c>
    </row>
    <row r="577" spans="2:21" x14ac:dyDescent="0.25">
      <c r="B577" s="11">
        <v>53</v>
      </c>
      <c r="C577" t="s">
        <v>82</v>
      </c>
      <c r="D577" t="s">
        <v>709</v>
      </c>
      <c r="E577" s="6">
        <v>9157</v>
      </c>
      <c r="F577" s="52">
        <v>179.67335741181608</v>
      </c>
      <c r="H577" s="53"/>
      <c r="I577" s="11" t="s">
        <v>797</v>
      </c>
      <c r="J577" s="11" t="s">
        <v>797</v>
      </c>
      <c r="K577" s="6">
        <v>0.79100000000000004</v>
      </c>
      <c r="L577" s="6">
        <v>1842.152</v>
      </c>
    </row>
    <row r="578" spans="2:21" x14ac:dyDescent="0.25">
      <c r="B578" s="11">
        <v>53</v>
      </c>
      <c r="C578" t="s">
        <v>82</v>
      </c>
      <c r="D578" t="s">
        <v>16</v>
      </c>
      <c r="E578" s="6">
        <v>2995</v>
      </c>
      <c r="F578" s="52">
        <v>79.999288022513213</v>
      </c>
      <c r="H578" s="54"/>
      <c r="K578" s="6"/>
      <c r="L578" s="6">
        <v>268.38408255310213</v>
      </c>
    </row>
    <row r="579" spans="2:21" ht="15.75" thickBot="1" x14ac:dyDescent="0.3">
      <c r="B579" s="36"/>
      <c r="C579" s="35"/>
      <c r="D579" s="59" t="s">
        <v>42</v>
      </c>
      <c r="E579" s="55">
        <v>16595</v>
      </c>
      <c r="F579" s="56"/>
      <c r="G579" s="57"/>
      <c r="H579" s="58"/>
      <c r="I579" s="57"/>
      <c r="J579" s="57"/>
      <c r="K579" s="55">
        <v>0.79100000000000004</v>
      </c>
      <c r="L579" s="55">
        <v>2606.2451098661991</v>
      </c>
      <c r="N579" s="6"/>
      <c r="T579" s="6"/>
      <c r="U579" s="6"/>
    </row>
    <row r="580" spans="2:21" ht="15.75" thickTop="1" x14ac:dyDescent="0.25">
      <c r="B580" s="11">
        <v>55</v>
      </c>
      <c r="C580" t="s">
        <v>82</v>
      </c>
      <c r="D580" t="s">
        <v>710</v>
      </c>
      <c r="E580" s="6">
        <v>444</v>
      </c>
      <c r="F580" s="52">
        <v>79.999779040113424</v>
      </c>
      <c r="H580" s="53">
        <v>1</v>
      </c>
      <c r="K580" s="6"/>
      <c r="L580" s="6">
        <v>39.787510242411408</v>
      </c>
    </row>
    <row r="581" spans="2:21" x14ac:dyDescent="0.25">
      <c r="B581" s="11">
        <v>55</v>
      </c>
      <c r="C581" t="s">
        <v>82</v>
      </c>
      <c r="D581" t="s">
        <v>711</v>
      </c>
      <c r="E581" s="6">
        <v>67</v>
      </c>
      <c r="F581" s="52">
        <v>79.999779040113424</v>
      </c>
      <c r="H581" s="53">
        <v>1</v>
      </c>
      <c r="K581" s="6"/>
      <c r="L581" s="6">
        <v>6.0039711401837037</v>
      </c>
    </row>
    <row r="582" spans="2:21" x14ac:dyDescent="0.25">
      <c r="B582" s="11">
        <v>55</v>
      </c>
      <c r="C582" t="s">
        <v>82</v>
      </c>
      <c r="D582" t="s">
        <v>572</v>
      </c>
      <c r="E582" s="6">
        <v>322</v>
      </c>
      <c r="F582" s="52">
        <v>79.999779040113424</v>
      </c>
      <c r="H582" s="53">
        <v>1</v>
      </c>
      <c r="K582" s="6"/>
      <c r="L582" s="6">
        <v>28.85490607670377</v>
      </c>
    </row>
    <row r="583" spans="2:21" x14ac:dyDescent="0.25">
      <c r="B583" s="11">
        <v>55</v>
      </c>
      <c r="C583" t="s">
        <v>82</v>
      </c>
      <c r="D583" t="s">
        <v>712</v>
      </c>
      <c r="E583" s="6">
        <v>232</v>
      </c>
      <c r="F583" s="52">
        <v>112.51602413793101</v>
      </c>
      <c r="H583" s="53"/>
      <c r="J583" s="11" t="s">
        <v>797</v>
      </c>
      <c r="K583" s="6"/>
      <c r="L583" s="6">
        <v>29.24</v>
      </c>
    </row>
    <row r="584" spans="2:21" x14ac:dyDescent="0.25">
      <c r="B584" s="11">
        <v>55</v>
      </c>
      <c r="C584" t="s">
        <v>82</v>
      </c>
      <c r="D584" t="s">
        <v>713</v>
      </c>
      <c r="E584" s="6">
        <v>313.92249546300002</v>
      </c>
      <c r="F584" s="52">
        <v>70.020608900870442</v>
      </c>
      <c r="H584" s="53"/>
      <c r="J584" s="11" t="s">
        <v>797</v>
      </c>
      <c r="K584" s="6"/>
      <c r="L584" s="6">
        <v>24.622</v>
      </c>
    </row>
    <row r="585" spans="2:21" x14ac:dyDescent="0.25">
      <c r="B585" s="11">
        <v>55</v>
      </c>
      <c r="C585" t="s">
        <v>82</v>
      </c>
      <c r="D585" t="s">
        <v>714</v>
      </c>
      <c r="E585" s="6">
        <v>205</v>
      </c>
      <c r="F585" s="52">
        <v>79.999779040113424</v>
      </c>
      <c r="H585" s="53">
        <v>1</v>
      </c>
      <c r="K585" s="6"/>
      <c r="L585" s="6">
        <v>18.370359458771034</v>
      </c>
    </row>
    <row r="586" spans="2:21" x14ac:dyDescent="0.25">
      <c r="B586" s="11">
        <v>55</v>
      </c>
      <c r="C586" t="s">
        <v>82</v>
      </c>
      <c r="D586" t="s">
        <v>715</v>
      </c>
      <c r="E586" s="6">
        <v>35</v>
      </c>
      <c r="F586" s="52">
        <v>79.999779040113424</v>
      </c>
      <c r="H586" s="53">
        <v>1</v>
      </c>
      <c r="K586" s="6"/>
      <c r="L586" s="6">
        <v>3.1364028344243229</v>
      </c>
    </row>
    <row r="587" spans="2:21" x14ac:dyDescent="0.25">
      <c r="B587" s="11">
        <v>55</v>
      </c>
      <c r="C587" t="s">
        <v>82</v>
      </c>
      <c r="D587" t="s">
        <v>716</v>
      </c>
      <c r="E587" s="6">
        <v>1076</v>
      </c>
      <c r="F587" s="52">
        <v>88.465887769516726</v>
      </c>
      <c r="H587" s="53"/>
      <c r="J587" s="11" t="s">
        <v>797</v>
      </c>
      <c r="K587" s="6"/>
      <c r="L587" s="6">
        <v>106.626</v>
      </c>
    </row>
    <row r="588" spans="2:21" x14ac:dyDescent="0.25">
      <c r="B588" s="11">
        <v>55</v>
      </c>
      <c r="C588" t="s">
        <v>82</v>
      </c>
      <c r="D588" t="s">
        <v>717</v>
      </c>
      <c r="E588" s="6">
        <v>58.3</v>
      </c>
      <c r="F588" s="52">
        <v>79.999779040113424</v>
      </c>
      <c r="H588" s="53">
        <v>1</v>
      </c>
      <c r="K588" s="6"/>
      <c r="L588" s="6">
        <v>5.2243510070553718</v>
      </c>
    </row>
    <row r="589" spans="2:21" x14ac:dyDescent="0.25">
      <c r="B589" s="11">
        <v>55</v>
      </c>
      <c r="C589" t="s">
        <v>82</v>
      </c>
      <c r="D589" t="s">
        <v>718</v>
      </c>
      <c r="E589" s="6">
        <v>232</v>
      </c>
      <c r="F589" s="52">
        <v>105.4356724137931</v>
      </c>
      <c r="H589" s="53"/>
      <c r="J589" s="11" t="s">
        <v>797</v>
      </c>
      <c r="K589" s="6"/>
      <c r="L589" s="6">
        <v>27.4</v>
      </c>
    </row>
    <row r="590" spans="2:21" x14ac:dyDescent="0.25">
      <c r="B590" s="11">
        <v>55</v>
      </c>
      <c r="C590" t="s">
        <v>82</v>
      </c>
      <c r="D590" t="s">
        <v>719</v>
      </c>
      <c r="E590" s="6">
        <v>44</v>
      </c>
      <c r="F590" s="52">
        <v>79.999779040113424</v>
      </c>
      <c r="G590" s="11">
        <v>6</v>
      </c>
      <c r="H590" s="53">
        <v>1</v>
      </c>
      <c r="K590" s="6"/>
      <c r="L590" s="6">
        <v>3.9429064204191486</v>
      </c>
    </row>
    <row r="591" spans="2:21" x14ac:dyDescent="0.25">
      <c r="B591" s="11">
        <v>55</v>
      </c>
      <c r="C591" t="s">
        <v>82</v>
      </c>
      <c r="D591" t="s">
        <v>720</v>
      </c>
      <c r="E591" s="6">
        <v>68</v>
      </c>
      <c r="F591" s="52">
        <v>79.999779040113424</v>
      </c>
      <c r="H591" s="53">
        <v>1</v>
      </c>
      <c r="K591" s="6"/>
      <c r="L591" s="6">
        <v>6.0935826497386847</v>
      </c>
    </row>
    <row r="592" spans="2:21" x14ac:dyDescent="0.25">
      <c r="B592" s="11">
        <v>55</v>
      </c>
      <c r="C592" t="s">
        <v>82</v>
      </c>
      <c r="D592" t="s">
        <v>721</v>
      </c>
      <c r="E592" s="6">
        <v>20</v>
      </c>
      <c r="F592" s="52">
        <v>87.533157000000003</v>
      </c>
      <c r="H592" s="53"/>
      <c r="J592" s="11" t="s">
        <v>797</v>
      </c>
      <c r="K592" s="6"/>
      <c r="L592" s="6">
        <v>1.9610000000000001</v>
      </c>
    </row>
    <row r="593" spans="2:12" x14ac:dyDescent="0.25">
      <c r="B593" s="11">
        <v>55</v>
      </c>
      <c r="C593" t="s">
        <v>82</v>
      </c>
      <c r="D593" t="s">
        <v>722</v>
      </c>
      <c r="E593" s="6">
        <v>63</v>
      </c>
      <c r="F593" s="52">
        <v>58.354020952380964</v>
      </c>
      <c r="H593" s="53"/>
      <c r="J593" s="11" t="s">
        <v>797</v>
      </c>
      <c r="K593" s="6"/>
      <c r="L593" s="6">
        <v>4.1180000000000003</v>
      </c>
    </row>
    <row r="594" spans="2:12" x14ac:dyDescent="0.25">
      <c r="B594" s="11">
        <v>55</v>
      </c>
      <c r="C594" t="s">
        <v>82</v>
      </c>
      <c r="D594" t="s">
        <v>723</v>
      </c>
      <c r="E594" s="6">
        <v>49</v>
      </c>
      <c r="F594" s="52">
        <v>118.66154326530611</v>
      </c>
      <c r="H594" s="53"/>
      <c r="J594" s="11" t="s">
        <v>797</v>
      </c>
      <c r="K594" s="6"/>
      <c r="L594" s="6">
        <v>6.5129999999999999</v>
      </c>
    </row>
    <row r="595" spans="2:12" x14ac:dyDescent="0.25">
      <c r="B595" s="11">
        <v>55</v>
      </c>
      <c r="C595" t="s">
        <v>82</v>
      </c>
      <c r="D595" t="s">
        <v>724</v>
      </c>
      <c r="E595" s="6">
        <v>105</v>
      </c>
      <c r="F595" s="52">
        <v>120.13729714285716</v>
      </c>
      <c r="H595" s="53"/>
      <c r="J595" s="11" t="s">
        <v>797</v>
      </c>
      <c r="K595" s="6"/>
      <c r="L595" s="6">
        <v>14.13</v>
      </c>
    </row>
    <row r="596" spans="2:12" x14ac:dyDescent="0.25">
      <c r="B596" s="11">
        <v>55</v>
      </c>
      <c r="C596" t="s">
        <v>82</v>
      </c>
      <c r="D596" t="s">
        <v>725</v>
      </c>
      <c r="E596" s="6">
        <v>752</v>
      </c>
      <c r="F596" s="52">
        <v>46.253904095744687</v>
      </c>
      <c r="H596" s="53"/>
      <c r="J596" s="11" t="s">
        <v>797</v>
      </c>
      <c r="K596" s="6"/>
      <c r="L596" s="6">
        <v>38.962000000000003</v>
      </c>
    </row>
    <row r="597" spans="2:12" x14ac:dyDescent="0.25">
      <c r="B597" s="11">
        <v>55</v>
      </c>
      <c r="C597" t="s">
        <v>82</v>
      </c>
      <c r="D597" t="s">
        <v>726</v>
      </c>
      <c r="E597" s="6">
        <v>180</v>
      </c>
      <c r="F597" s="52">
        <v>81.338533333333331</v>
      </c>
      <c r="H597" s="53"/>
      <c r="J597" s="11" t="s">
        <v>797</v>
      </c>
      <c r="K597" s="6"/>
      <c r="L597" s="6">
        <v>16.399999999999999</v>
      </c>
    </row>
    <row r="598" spans="2:12" x14ac:dyDescent="0.25">
      <c r="B598" s="11">
        <v>55</v>
      </c>
      <c r="C598" t="s">
        <v>82</v>
      </c>
      <c r="D598" t="s">
        <v>727</v>
      </c>
      <c r="E598" s="6">
        <v>363.61521237699998</v>
      </c>
      <c r="F598" s="52">
        <v>49.457101759963422</v>
      </c>
      <c r="H598" s="53"/>
      <c r="J598" s="11" t="s">
        <v>797</v>
      </c>
      <c r="K598" s="6"/>
      <c r="L598" s="6">
        <v>20.143999999999998</v>
      </c>
    </row>
    <row r="599" spans="2:12" x14ac:dyDescent="0.25">
      <c r="B599" s="11">
        <v>55</v>
      </c>
      <c r="C599" t="s">
        <v>82</v>
      </c>
      <c r="D599" t="s">
        <v>728</v>
      </c>
      <c r="E599" s="6">
        <v>117</v>
      </c>
      <c r="F599" s="52">
        <v>51.962046153846153</v>
      </c>
      <c r="H599" s="53"/>
      <c r="J599" s="11" t="s">
        <v>797</v>
      </c>
      <c r="K599" s="6"/>
      <c r="L599" s="6">
        <v>6.81</v>
      </c>
    </row>
    <row r="600" spans="2:12" x14ac:dyDescent="0.25">
      <c r="B600" s="11">
        <v>55</v>
      </c>
      <c r="C600" t="s">
        <v>82</v>
      </c>
      <c r="D600" t="s">
        <v>729</v>
      </c>
      <c r="E600" s="6">
        <v>549</v>
      </c>
      <c r="F600" s="52">
        <v>79.999779040113424</v>
      </c>
      <c r="H600" s="53">
        <v>1</v>
      </c>
      <c r="K600" s="6"/>
      <c r="L600" s="6">
        <v>49.196718745684379</v>
      </c>
    </row>
    <row r="601" spans="2:12" x14ac:dyDescent="0.25">
      <c r="B601" s="11">
        <v>55</v>
      </c>
      <c r="C601" t="s">
        <v>82</v>
      </c>
      <c r="D601" t="s">
        <v>730</v>
      </c>
      <c r="E601" s="6">
        <v>1820</v>
      </c>
      <c r="F601" s="52">
        <v>102.86866434065935</v>
      </c>
      <c r="H601" s="53"/>
      <c r="J601" s="11" t="s">
        <v>797</v>
      </c>
      <c r="K601" s="6"/>
      <c r="L601" s="6">
        <v>209.715</v>
      </c>
    </row>
    <row r="602" spans="2:12" x14ac:dyDescent="0.25">
      <c r="B602" s="11">
        <v>55</v>
      </c>
      <c r="C602" t="s">
        <v>82</v>
      </c>
      <c r="D602" t="s">
        <v>731</v>
      </c>
      <c r="E602" s="6">
        <v>750</v>
      </c>
      <c r="F602" s="52">
        <v>79.999779040113424</v>
      </c>
      <c r="H602" s="53">
        <v>1</v>
      </c>
      <c r="J602" s="11" t="s">
        <v>797</v>
      </c>
      <c r="K602" s="6"/>
      <c r="L602" s="6">
        <v>67.208632166235489</v>
      </c>
    </row>
    <row r="603" spans="2:12" x14ac:dyDescent="0.25">
      <c r="B603" s="11">
        <v>55</v>
      </c>
      <c r="C603" t="s">
        <v>82</v>
      </c>
      <c r="D603" t="s">
        <v>732</v>
      </c>
      <c r="E603" s="6">
        <v>679</v>
      </c>
      <c r="F603" s="52">
        <v>761.26135493372601</v>
      </c>
      <c r="G603" s="11">
        <v>9</v>
      </c>
      <c r="H603" s="53"/>
      <c r="I603" s="11" t="s">
        <v>797</v>
      </c>
      <c r="J603" s="11" t="s">
        <v>797</v>
      </c>
      <c r="K603" s="6">
        <v>62</v>
      </c>
      <c r="L603" s="6">
        <v>517</v>
      </c>
    </row>
    <row r="604" spans="2:12" x14ac:dyDescent="0.25">
      <c r="B604" s="11">
        <v>55</v>
      </c>
      <c r="C604" t="s">
        <v>82</v>
      </c>
      <c r="D604" t="s">
        <v>733</v>
      </c>
      <c r="E604" s="6">
        <v>342</v>
      </c>
      <c r="F604" s="52">
        <v>66.715347719298251</v>
      </c>
      <c r="H604" s="53"/>
      <c r="J604" s="11" t="s">
        <v>797</v>
      </c>
      <c r="K604" s="6"/>
      <c r="L604" s="6">
        <v>25.558</v>
      </c>
    </row>
    <row r="605" spans="2:12" x14ac:dyDescent="0.25">
      <c r="B605" s="11">
        <v>55</v>
      </c>
      <c r="C605" t="s">
        <v>82</v>
      </c>
      <c r="D605" t="s">
        <v>734</v>
      </c>
      <c r="E605" s="6">
        <v>148.88250734600001</v>
      </c>
      <c r="F605" s="52">
        <v>79.999779040113438</v>
      </c>
      <c r="H605" s="53">
        <v>1</v>
      </c>
      <c r="K605" s="6"/>
      <c r="L605" s="6">
        <v>13.341586229605559</v>
      </c>
    </row>
    <row r="606" spans="2:12" x14ac:dyDescent="0.25">
      <c r="B606" s="11">
        <v>55</v>
      </c>
      <c r="C606" t="s">
        <v>82</v>
      </c>
      <c r="D606" t="s">
        <v>735</v>
      </c>
      <c r="E606" s="6">
        <v>87</v>
      </c>
      <c r="F606" s="52">
        <v>34.888689655172413</v>
      </c>
      <c r="H606" s="53">
        <v>2</v>
      </c>
      <c r="J606" s="11" t="s">
        <v>797</v>
      </c>
      <c r="K606" s="6"/>
      <c r="L606" s="6">
        <v>3.4</v>
      </c>
    </row>
    <row r="607" spans="2:12" x14ac:dyDescent="0.25">
      <c r="B607" s="11">
        <v>55</v>
      </c>
      <c r="C607" t="s">
        <v>82</v>
      </c>
      <c r="D607" t="s">
        <v>736</v>
      </c>
      <c r="E607" s="6">
        <v>34</v>
      </c>
      <c r="F607" s="52">
        <v>92.319818823529417</v>
      </c>
      <c r="H607" s="53"/>
      <c r="J607" s="11" t="s">
        <v>797</v>
      </c>
      <c r="K607" s="6"/>
      <c r="L607" s="6">
        <v>3.516</v>
      </c>
    </row>
    <row r="608" spans="2:12" x14ac:dyDescent="0.25">
      <c r="B608" s="11">
        <v>55</v>
      </c>
      <c r="C608" t="s">
        <v>82</v>
      </c>
      <c r="D608" t="s">
        <v>737</v>
      </c>
      <c r="E608" s="6">
        <v>700</v>
      </c>
      <c r="F608" s="52">
        <v>48.091903800000004</v>
      </c>
      <c r="H608" s="53"/>
      <c r="J608" s="11" t="s">
        <v>797</v>
      </c>
      <c r="K608" s="6"/>
      <c r="L608" s="6">
        <v>37.709000000000003</v>
      </c>
    </row>
    <row r="609" spans="2:21" x14ac:dyDescent="0.25">
      <c r="B609" s="11">
        <v>55</v>
      </c>
      <c r="C609" t="s">
        <v>82</v>
      </c>
      <c r="D609" t="s">
        <v>738</v>
      </c>
      <c r="E609" s="6">
        <v>6390.3153687499998</v>
      </c>
      <c r="F609" s="52">
        <v>140.37301423442366</v>
      </c>
      <c r="H609" s="53"/>
      <c r="J609" s="11" t="s">
        <v>797</v>
      </c>
      <c r="K609" s="6"/>
      <c r="L609" s="6">
        <v>1004.803</v>
      </c>
    </row>
    <row r="610" spans="2:21" x14ac:dyDescent="0.25">
      <c r="B610" s="11">
        <v>55</v>
      </c>
      <c r="C610" t="s">
        <v>82</v>
      </c>
      <c r="D610" t="s">
        <v>739</v>
      </c>
      <c r="E610" s="6">
        <v>91</v>
      </c>
      <c r="F610" s="52">
        <v>79.999779040113424</v>
      </c>
      <c r="H610" s="53">
        <v>1</v>
      </c>
      <c r="K610" s="6"/>
      <c r="L610" s="6">
        <v>8.1546473695032393</v>
      </c>
    </row>
    <row r="611" spans="2:21" x14ac:dyDescent="0.25">
      <c r="B611" s="11">
        <v>55</v>
      </c>
      <c r="C611" t="s">
        <v>82</v>
      </c>
      <c r="D611" t="s">
        <v>740</v>
      </c>
      <c r="E611" s="6">
        <v>109</v>
      </c>
      <c r="F611" s="52">
        <v>55.857677064220184</v>
      </c>
      <c r="H611" s="53"/>
      <c r="J611" s="11" t="s">
        <v>797</v>
      </c>
      <c r="K611" s="6"/>
      <c r="L611" s="6">
        <v>6.82</v>
      </c>
    </row>
    <row r="612" spans="2:21" x14ac:dyDescent="0.25">
      <c r="B612" s="11">
        <v>55</v>
      </c>
      <c r="C612" t="s">
        <v>82</v>
      </c>
      <c r="D612" t="s">
        <v>741</v>
      </c>
      <c r="E612" s="6">
        <v>121</v>
      </c>
      <c r="F612" s="52">
        <v>63.056218264462814</v>
      </c>
      <c r="H612" s="53"/>
      <c r="J612" s="11" t="s">
        <v>797</v>
      </c>
      <c r="K612" s="6"/>
      <c r="L612" s="6">
        <v>8.5465</v>
      </c>
    </row>
    <row r="613" spans="2:21" x14ac:dyDescent="0.25">
      <c r="B613" s="11">
        <v>55</v>
      </c>
      <c r="C613" t="s">
        <v>82</v>
      </c>
      <c r="D613" t="s">
        <v>742</v>
      </c>
      <c r="E613" s="6">
        <v>195</v>
      </c>
      <c r="F613" s="52">
        <v>79.999779040113424</v>
      </c>
      <c r="H613" s="53">
        <v>1</v>
      </c>
      <c r="K613" s="6"/>
      <c r="L613" s="6">
        <v>17.474244363221228</v>
      </c>
    </row>
    <row r="614" spans="2:21" x14ac:dyDescent="0.25">
      <c r="B614" s="11">
        <v>55</v>
      </c>
      <c r="C614" t="s">
        <v>82</v>
      </c>
      <c r="D614" t="s">
        <v>743</v>
      </c>
      <c r="E614" s="6">
        <v>192</v>
      </c>
      <c r="F614" s="52">
        <v>79.999779040113424</v>
      </c>
      <c r="H614" s="53">
        <v>1</v>
      </c>
      <c r="K614" s="6"/>
      <c r="L614" s="6">
        <v>17.205409834556285</v>
      </c>
    </row>
    <row r="615" spans="2:21" x14ac:dyDescent="0.25">
      <c r="B615" s="11">
        <v>55</v>
      </c>
      <c r="C615" t="s">
        <v>82</v>
      </c>
      <c r="D615" t="s">
        <v>744</v>
      </c>
      <c r="E615" s="6">
        <v>19</v>
      </c>
      <c r="F615" s="52">
        <v>79.999779040113424</v>
      </c>
      <c r="H615" s="53">
        <v>1</v>
      </c>
      <c r="K615" s="6"/>
      <c r="L615" s="6">
        <v>1.7026186815446325</v>
      </c>
    </row>
    <row r="616" spans="2:21" x14ac:dyDescent="0.25">
      <c r="B616" s="11">
        <v>55</v>
      </c>
      <c r="C616" t="s">
        <v>82</v>
      </c>
      <c r="D616" t="s">
        <v>745</v>
      </c>
      <c r="E616" s="6">
        <v>270</v>
      </c>
      <c r="F616" s="52">
        <v>45.503288444444451</v>
      </c>
      <c r="H616" s="53"/>
      <c r="J616" s="11" t="s">
        <v>797</v>
      </c>
      <c r="K616" s="6"/>
      <c r="L616" s="6">
        <v>13.762</v>
      </c>
    </row>
    <row r="617" spans="2:21" x14ac:dyDescent="0.25">
      <c r="B617" s="11">
        <v>55</v>
      </c>
      <c r="C617" t="s">
        <v>82</v>
      </c>
      <c r="D617" t="s">
        <v>746</v>
      </c>
      <c r="E617" s="6">
        <v>168</v>
      </c>
      <c r="F617" s="52">
        <v>79.999779040113424</v>
      </c>
      <c r="H617" s="53">
        <v>1</v>
      </c>
      <c r="K617" s="6"/>
      <c r="L617" s="6">
        <v>15.05473360523675</v>
      </c>
    </row>
    <row r="618" spans="2:21" x14ac:dyDescent="0.25">
      <c r="B618" s="11">
        <v>55</v>
      </c>
      <c r="C618" t="s">
        <v>82</v>
      </c>
      <c r="D618" t="s">
        <v>747</v>
      </c>
      <c r="E618" s="6">
        <v>100</v>
      </c>
      <c r="F618" s="52">
        <v>71.812005600000006</v>
      </c>
      <c r="H618" s="53"/>
      <c r="J618" s="11" t="s">
        <v>797</v>
      </c>
      <c r="K618" s="6"/>
      <c r="L618" s="6">
        <v>8.0440000000000005</v>
      </c>
    </row>
    <row r="619" spans="2:21" x14ac:dyDescent="0.25">
      <c r="B619" s="11">
        <v>55</v>
      </c>
      <c r="C619" t="s">
        <v>82</v>
      </c>
      <c r="D619" t="s">
        <v>748</v>
      </c>
      <c r="E619" s="6">
        <v>354</v>
      </c>
      <c r="F619" s="52">
        <v>51.879794576271188</v>
      </c>
      <c r="H619" s="53"/>
      <c r="J619" s="11" t="s">
        <v>797</v>
      </c>
      <c r="K619" s="6"/>
      <c r="L619" s="6">
        <v>20.571999999999999</v>
      </c>
    </row>
    <row r="620" spans="2:21" x14ac:dyDescent="0.25">
      <c r="B620" s="11">
        <v>55</v>
      </c>
      <c r="C620" t="s">
        <v>82</v>
      </c>
      <c r="D620" t="s">
        <v>749</v>
      </c>
      <c r="E620" s="6">
        <v>105</v>
      </c>
      <c r="F620" s="52">
        <v>104.34855257142857</v>
      </c>
      <c r="H620" s="53"/>
      <c r="J620" s="11" t="s">
        <v>797</v>
      </c>
      <c r="K620" s="6"/>
      <c r="L620" s="6">
        <v>12.273</v>
      </c>
    </row>
    <row r="621" spans="2:21" x14ac:dyDescent="0.25">
      <c r="B621" s="11">
        <v>55</v>
      </c>
      <c r="C621" t="s">
        <v>82</v>
      </c>
      <c r="D621" t="s">
        <v>750</v>
      </c>
      <c r="E621" s="6">
        <v>265</v>
      </c>
      <c r="F621" s="52">
        <v>79.999779040113424</v>
      </c>
      <c r="G621" s="11">
        <v>9</v>
      </c>
      <c r="H621" s="53">
        <v>1</v>
      </c>
      <c r="K621" s="6"/>
      <c r="L621" s="6">
        <v>23.747050032069872</v>
      </c>
    </row>
    <row r="622" spans="2:21" x14ac:dyDescent="0.25">
      <c r="B622" s="11">
        <v>55</v>
      </c>
      <c r="C622" t="s">
        <v>82</v>
      </c>
      <c r="D622" t="s">
        <v>751</v>
      </c>
      <c r="E622" s="6">
        <v>113</v>
      </c>
      <c r="F622" s="52">
        <v>17.301775221238938</v>
      </c>
      <c r="H622" s="53">
        <v>5</v>
      </c>
      <c r="J622" s="11" t="s">
        <v>797</v>
      </c>
      <c r="K622" s="6"/>
      <c r="L622" s="6">
        <v>2.19</v>
      </c>
    </row>
    <row r="623" spans="2:21" x14ac:dyDescent="0.25">
      <c r="B623" s="11">
        <v>55</v>
      </c>
      <c r="C623" t="s">
        <v>82</v>
      </c>
      <c r="D623" t="s">
        <v>16</v>
      </c>
      <c r="E623" s="6">
        <v>16140</v>
      </c>
      <c r="F623" s="52">
        <v>79.999288022513227</v>
      </c>
      <c r="H623" s="54"/>
      <c r="K623" s="6"/>
      <c r="L623" s="6">
        <v>1446.3168922895054</v>
      </c>
    </row>
    <row r="624" spans="2:21" ht="15.75" thickBot="1" x14ac:dyDescent="0.3">
      <c r="B624" s="36"/>
      <c r="C624" s="35"/>
      <c r="D624" s="59" t="s">
        <v>42</v>
      </c>
      <c r="E624" s="55">
        <v>34489.035583935998</v>
      </c>
      <c r="F624" s="56"/>
      <c r="G624" s="57"/>
      <c r="H624" s="58"/>
      <c r="I624" s="57"/>
      <c r="J624" s="57"/>
      <c r="K624" s="55">
        <v>62</v>
      </c>
      <c r="L624" s="55">
        <v>3941.651023146871</v>
      </c>
      <c r="N624" s="6"/>
      <c r="T624" s="6"/>
      <c r="U624" s="6"/>
    </row>
    <row r="625" spans="2:12" ht="15.75" thickTop="1" x14ac:dyDescent="0.25">
      <c r="B625" s="11">
        <v>57</v>
      </c>
      <c r="C625" t="s">
        <v>81</v>
      </c>
      <c r="D625" t="s">
        <v>752</v>
      </c>
      <c r="E625" s="6">
        <v>39</v>
      </c>
      <c r="F625" s="52">
        <v>79.999779040113424</v>
      </c>
      <c r="H625" s="53">
        <v>1</v>
      </c>
      <c r="K625" s="6"/>
      <c r="L625" s="6">
        <v>3.4948488726442455</v>
      </c>
    </row>
    <row r="626" spans="2:12" x14ac:dyDescent="0.25">
      <c r="B626" s="11">
        <v>57</v>
      </c>
      <c r="C626" t="s">
        <v>81</v>
      </c>
      <c r="D626" t="s">
        <v>16</v>
      </c>
      <c r="E626" s="6">
        <v>122.95486914723162</v>
      </c>
      <c r="F626" s="52">
        <v>79.999288022513213</v>
      </c>
      <c r="H626" s="54"/>
      <c r="K626" s="6"/>
      <c r="L626" s="6">
        <v>11.018073372793483</v>
      </c>
    </row>
    <row r="627" spans="2:12" x14ac:dyDescent="0.25">
      <c r="B627" s="11">
        <v>57</v>
      </c>
      <c r="C627" t="s">
        <v>82</v>
      </c>
      <c r="D627" t="s">
        <v>753</v>
      </c>
      <c r="E627" s="6">
        <v>53</v>
      </c>
      <c r="F627" s="52">
        <v>79.999779040113424</v>
      </c>
      <c r="H627" s="53">
        <v>1</v>
      </c>
      <c r="K627" s="6"/>
      <c r="L627" s="6">
        <v>4.7494100064139744</v>
      </c>
    </row>
    <row r="628" spans="2:12" x14ac:dyDescent="0.25">
      <c r="B628" s="11">
        <v>57</v>
      </c>
      <c r="C628" t="s">
        <v>82</v>
      </c>
      <c r="D628" t="s">
        <v>754</v>
      </c>
      <c r="E628" s="6">
        <v>34</v>
      </c>
      <c r="F628" s="52">
        <v>79.999779040113424</v>
      </c>
      <c r="H628" s="53">
        <v>1</v>
      </c>
      <c r="K628" s="6"/>
      <c r="L628" s="6">
        <v>3.0467913248693423</v>
      </c>
    </row>
    <row r="629" spans="2:12" x14ac:dyDescent="0.25">
      <c r="B629" s="11">
        <v>57</v>
      </c>
      <c r="C629" t="s">
        <v>82</v>
      </c>
      <c r="D629" t="s">
        <v>755</v>
      </c>
      <c r="E629" s="6">
        <v>442</v>
      </c>
      <c r="F629" s="52">
        <v>65.382096244343899</v>
      </c>
      <c r="H629" s="53"/>
      <c r="J629" s="11" t="s">
        <v>797</v>
      </c>
      <c r="K629" s="6"/>
      <c r="L629" s="6">
        <v>32.371000000000002</v>
      </c>
    </row>
    <row r="630" spans="2:12" x14ac:dyDescent="0.25">
      <c r="B630" s="11">
        <v>57</v>
      </c>
      <c r="C630" t="s">
        <v>82</v>
      </c>
      <c r="D630" t="s">
        <v>756</v>
      </c>
      <c r="E630" s="6">
        <v>127.013167424</v>
      </c>
      <c r="F630" s="52">
        <v>64.087869668085219</v>
      </c>
      <c r="H630" s="53"/>
      <c r="J630" s="11" t="s">
        <v>797</v>
      </c>
      <c r="K630" s="6"/>
      <c r="L630" s="6">
        <v>9.1180000000000003</v>
      </c>
    </row>
    <row r="631" spans="2:12" x14ac:dyDescent="0.25">
      <c r="B631" s="11">
        <v>57</v>
      </c>
      <c r="C631" t="s">
        <v>82</v>
      </c>
      <c r="D631" t="s">
        <v>757</v>
      </c>
      <c r="E631" s="6">
        <v>185</v>
      </c>
      <c r="F631" s="52">
        <v>73.832010810810814</v>
      </c>
      <c r="H631" s="53"/>
      <c r="J631" s="11" t="s">
        <v>797</v>
      </c>
      <c r="K631" s="6"/>
      <c r="L631" s="6">
        <v>15.3</v>
      </c>
    </row>
    <row r="632" spans="2:12" x14ac:dyDescent="0.25">
      <c r="B632" s="11">
        <v>57</v>
      </c>
      <c r="C632" t="s">
        <v>82</v>
      </c>
      <c r="D632" t="s">
        <v>758</v>
      </c>
      <c r="E632" s="6">
        <v>1337.29544207</v>
      </c>
      <c r="F632" s="52">
        <v>82.304860345316769</v>
      </c>
      <c r="G632" s="11">
        <v>4</v>
      </c>
      <c r="H632" s="53">
        <v>5</v>
      </c>
      <c r="J632" s="11" t="s">
        <v>797</v>
      </c>
      <c r="K632" s="6"/>
      <c r="L632" s="6">
        <v>123.29</v>
      </c>
    </row>
    <row r="633" spans="2:12" x14ac:dyDescent="0.25">
      <c r="B633" s="11">
        <v>57</v>
      </c>
      <c r="C633" t="s">
        <v>82</v>
      </c>
      <c r="D633" t="s">
        <v>759</v>
      </c>
      <c r="E633" s="6">
        <v>1160</v>
      </c>
      <c r="F633" s="52">
        <v>191.86213965517243</v>
      </c>
      <c r="H633" s="53">
        <v>2</v>
      </c>
      <c r="J633" s="11" t="s">
        <v>797</v>
      </c>
      <c r="K633" s="6"/>
      <c r="L633" s="6">
        <v>249.3</v>
      </c>
    </row>
    <row r="634" spans="2:12" x14ac:dyDescent="0.25">
      <c r="B634" s="11">
        <v>57</v>
      </c>
      <c r="C634" t="s">
        <v>82</v>
      </c>
      <c r="D634" t="s">
        <v>760</v>
      </c>
      <c r="E634" s="6">
        <v>200</v>
      </c>
      <c r="F634" s="52">
        <v>69.477490499999988</v>
      </c>
      <c r="H634" s="53"/>
      <c r="J634" s="11" t="s">
        <v>797</v>
      </c>
      <c r="K634" s="6"/>
      <c r="L634" s="6">
        <v>15.565</v>
      </c>
    </row>
    <row r="635" spans="2:12" x14ac:dyDescent="0.25">
      <c r="B635" s="11">
        <v>57</v>
      </c>
      <c r="C635" t="s">
        <v>82</v>
      </c>
      <c r="D635" t="s">
        <v>761</v>
      </c>
      <c r="E635" s="6">
        <v>704</v>
      </c>
      <c r="F635" s="52">
        <v>82.616492897727269</v>
      </c>
      <c r="H635" s="53"/>
      <c r="J635" s="11" t="s">
        <v>797</v>
      </c>
      <c r="K635" s="6"/>
      <c r="L635" s="6">
        <v>65.150000000000006</v>
      </c>
    </row>
    <row r="636" spans="2:12" x14ac:dyDescent="0.25">
      <c r="B636" s="11">
        <v>57</v>
      </c>
      <c r="C636" t="s">
        <v>82</v>
      </c>
      <c r="D636" t="s">
        <v>762</v>
      </c>
      <c r="E636" s="6">
        <v>62</v>
      </c>
      <c r="F636" s="52">
        <v>79.999779040113424</v>
      </c>
      <c r="H636" s="53">
        <v>1</v>
      </c>
      <c r="K636" s="6"/>
      <c r="L636" s="6">
        <v>5.5559135924088006</v>
      </c>
    </row>
    <row r="637" spans="2:12" x14ac:dyDescent="0.25">
      <c r="B637" s="11">
        <v>57</v>
      </c>
      <c r="C637" t="s">
        <v>82</v>
      </c>
      <c r="D637" t="s">
        <v>763</v>
      </c>
      <c r="E637" s="6">
        <v>234.37074544699999</v>
      </c>
      <c r="F637" s="52">
        <v>57.486833752665618</v>
      </c>
      <c r="H637" s="53"/>
      <c r="J637" s="11" t="s">
        <v>797</v>
      </c>
      <c r="K637" s="6"/>
      <c r="L637" s="6">
        <v>15.092000000000001</v>
      </c>
    </row>
    <row r="638" spans="2:12" x14ac:dyDescent="0.25">
      <c r="B638" s="11">
        <v>57</v>
      </c>
      <c r="C638" t="s">
        <v>82</v>
      </c>
      <c r="D638" t="s">
        <v>764</v>
      </c>
      <c r="E638" s="6">
        <v>2245</v>
      </c>
      <c r="F638" s="52">
        <v>127.7147083830735</v>
      </c>
      <c r="H638" s="53"/>
      <c r="J638" s="11" t="s">
        <v>797</v>
      </c>
      <c r="K638" s="6"/>
      <c r="L638" s="6">
        <v>321.16800000000001</v>
      </c>
    </row>
    <row r="639" spans="2:12" x14ac:dyDescent="0.25">
      <c r="B639" s="11">
        <v>57</v>
      </c>
      <c r="C639" t="s">
        <v>82</v>
      </c>
      <c r="D639" t="s">
        <v>765</v>
      </c>
      <c r="E639" s="6">
        <v>1116</v>
      </c>
      <c r="F639" s="52">
        <v>177.11609623655914</v>
      </c>
      <c r="H639" s="53"/>
      <c r="J639" s="11" t="s">
        <v>797</v>
      </c>
      <c r="K639" s="6"/>
      <c r="L639" s="6">
        <v>221.41</v>
      </c>
    </row>
    <row r="640" spans="2:12" x14ac:dyDescent="0.25">
      <c r="B640" s="11">
        <v>57</v>
      </c>
      <c r="C640" t="s">
        <v>82</v>
      </c>
      <c r="D640" t="s">
        <v>766</v>
      </c>
      <c r="E640" s="6">
        <v>45</v>
      </c>
      <c r="F640" s="52">
        <v>79.999779040113424</v>
      </c>
      <c r="H640" s="53">
        <v>1</v>
      </c>
      <c r="K640" s="6"/>
      <c r="L640" s="6">
        <v>4.0325179299741292</v>
      </c>
    </row>
    <row r="641" spans="2:21" x14ac:dyDescent="0.25">
      <c r="B641" s="11">
        <v>57</v>
      </c>
      <c r="C641" t="s">
        <v>82</v>
      </c>
      <c r="D641" t="s">
        <v>767</v>
      </c>
      <c r="E641" s="6">
        <v>247</v>
      </c>
      <c r="F641" s="52">
        <v>79.999779040113424</v>
      </c>
      <c r="H641" s="53">
        <v>1</v>
      </c>
      <c r="K641" s="6"/>
      <c r="L641" s="6">
        <v>22.134042860080221</v>
      </c>
    </row>
    <row r="642" spans="2:21" x14ac:dyDescent="0.25">
      <c r="B642" s="11">
        <v>57</v>
      </c>
      <c r="C642" t="s">
        <v>82</v>
      </c>
      <c r="D642" t="s">
        <v>768</v>
      </c>
      <c r="E642" s="6">
        <v>181</v>
      </c>
      <c r="F642" s="52">
        <v>79.999779040113424</v>
      </c>
      <c r="H642" s="53">
        <v>1</v>
      </c>
      <c r="K642" s="6"/>
      <c r="L642" s="6">
        <v>16.219683229451498</v>
      </c>
    </row>
    <row r="643" spans="2:21" x14ac:dyDescent="0.25">
      <c r="B643" s="11">
        <v>57</v>
      </c>
      <c r="C643" t="s">
        <v>82</v>
      </c>
      <c r="D643" t="s">
        <v>769</v>
      </c>
      <c r="E643" s="6">
        <v>284</v>
      </c>
      <c r="F643" s="52">
        <v>78.27192253521126</v>
      </c>
      <c r="H643" s="53">
        <v>2</v>
      </c>
      <c r="K643" s="6"/>
      <c r="L643" s="6">
        <v>24.9</v>
      </c>
    </row>
    <row r="644" spans="2:21" x14ac:dyDescent="0.25">
      <c r="B644" s="11">
        <v>57</v>
      </c>
      <c r="C644" t="s">
        <v>82</v>
      </c>
      <c r="D644" t="s">
        <v>770</v>
      </c>
      <c r="E644" s="6">
        <v>210</v>
      </c>
      <c r="F644" s="52">
        <v>79.999779040113424</v>
      </c>
      <c r="H644" s="53">
        <v>1</v>
      </c>
      <c r="K644" s="6"/>
      <c r="L644" s="6">
        <v>18.818417006545936</v>
      </c>
    </row>
    <row r="645" spans="2:21" x14ac:dyDescent="0.25">
      <c r="B645" s="11">
        <v>57</v>
      </c>
      <c r="C645" t="s">
        <v>82</v>
      </c>
      <c r="D645" t="s">
        <v>16</v>
      </c>
      <c r="E645" s="6">
        <v>6016.0451308527681</v>
      </c>
      <c r="F645" s="52">
        <v>79.999288022513213</v>
      </c>
      <c r="H645" s="54"/>
      <c r="K645" s="6"/>
      <c r="L645" s="6">
        <v>539.10208782703751</v>
      </c>
    </row>
    <row r="646" spans="2:21" ht="15.75" thickBot="1" x14ac:dyDescent="0.3">
      <c r="B646" s="36"/>
      <c r="C646" s="35"/>
      <c r="D646" s="59" t="s">
        <v>42</v>
      </c>
      <c r="E646" s="55">
        <v>15044.679354940999</v>
      </c>
      <c r="F646" s="56"/>
      <c r="G646" s="57"/>
      <c r="H646" s="58"/>
      <c r="I646" s="57"/>
      <c r="J646" s="57"/>
      <c r="K646" s="55">
        <v>0</v>
      </c>
      <c r="L646" s="55">
        <v>1720.8357860222195</v>
      </c>
      <c r="N646" s="6"/>
      <c r="T646" s="6"/>
      <c r="U646" s="6"/>
    </row>
    <row r="647" spans="2:21" ht="15.75" thickTop="1" x14ac:dyDescent="0.25">
      <c r="B647" s="11">
        <v>59</v>
      </c>
      <c r="C647" t="s">
        <v>79</v>
      </c>
      <c r="D647" t="s">
        <v>771</v>
      </c>
      <c r="E647" s="6">
        <v>2822</v>
      </c>
      <c r="F647" s="52">
        <v>224.39345740609497</v>
      </c>
      <c r="H647" s="53">
        <v>5</v>
      </c>
      <c r="J647" s="11" t="s">
        <v>797</v>
      </c>
      <c r="K647" s="6"/>
      <c r="L647" s="6">
        <v>709.32</v>
      </c>
    </row>
    <row r="648" spans="2:21" x14ac:dyDescent="0.25">
      <c r="B648" s="11">
        <v>59</v>
      </c>
      <c r="C648" t="s">
        <v>79</v>
      </c>
      <c r="D648" t="s">
        <v>772</v>
      </c>
      <c r="E648" s="6">
        <v>141</v>
      </c>
      <c r="F648" s="52">
        <v>79.999779040113424</v>
      </c>
      <c r="H648" s="53">
        <v>1</v>
      </c>
      <c r="K648" s="6"/>
      <c r="L648" s="6">
        <v>12.635222847252273</v>
      </c>
    </row>
    <row r="649" spans="2:21" x14ac:dyDescent="0.25">
      <c r="B649" s="11">
        <v>59</v>
      </c>
      <c r="C649" t="s">
        <v>79</v>
      </c>
      <c r="D649" t="s">
        <v>773</v>
      </c>
      <c r="E649" s="6">
        <v>22</v>
      </c>
      <c r="F649" s="52">
        <v>79.999779040113424</v>
      </c>
      <c r="H649" s="53">
        <v>1</v>
      </c>
      <c r="K649" s="6"/>
      <c r="L649" s="6">
        <v>1.9714532102095743</v>
      </c>
    </row>
    <row r="650" spans="2:21" x14ac:dyDescent="0.25">
      <c r="B650" s="11">
        <v>59</v>
      </c>
      <c r="C650" t="s">
        <v>79</v>
      </c>
      <c r="D650" t="s">
        <v>16</v>
      </c>
      <c r="E650" s="6">
        <v>1094</v>
      </c>
      <c r="F650" s="52">
        <v>79.999288022513227</v>
      </c>
      <c r="H650" s="54"/>
      <c r="K650" s="6"/>
      <c r="L650" s="6">
        <v>98.03411896931344</v>
      </c>
    </row>
    <row r="651" spans="2:21" ht="15.75" thickBot="1" x14ac:dyDescent="0.3">
      <c r="B651" s="36"/>
      <c r="C651" s="35"/>
      <c r="D651" s="59" t="s">
        <v>42</v>
      </c>
      <c r="E651" s="55">
        <v>4079</v>
      </c>
      <c r="F651" s="56"/>
      <c r="G651" s="57"/>
      <c r="H651" s="58"/>
      <c r="I651" s="57"/>
      <c r="J651" s="57"/>
      <c r="K651" s="55">
        <v>0</v>
      </c>
      <c r="L651" s="55">
        <v>821.96079502677537</v>
      </c>
      <c r="N651" s="6"/>
      <c r="T651" s="6"/>
      <c r="U651" s="6"/>
    </row>
    <row r="652" spans="2:21" ht="15.75" thickTop="1" x14ac:dyDescent="0.25">
      <c r="B652" s="11">
        <v>61</v>
      </c>
      <c r="C652" t="s">
        <v>82</v>
      </c>
      <c r="D652" t="s">
        <v>774</v>
      </c>
      <c r="E652" s="6">
        <v>8385</v>
      </c>
      <c r="F652" s="52">
        <v>141.51499413237926</v>
      </c>
      <c r="H652" s="53"/>
      <c r="J652" s="11" t="s">
        <v>797</v>
      </c>
      <c r="K652" s="6"/>
      <c r="L652" s="6">
        <v>1329.17</v>
      </c>
    </row>
    <row r="653" spans="2:21" x14ac:dyDescent="0.25">
      <c r="B653" s="11">
        <v>61</v>
      </c>
      <c r="C653" t="s">
        <v>82</v>
      </c>
      <c r="D653" t="s">
        <v>775</v>
      </c>
      <c r="E653" s="6">
        <v>4168</v>
      </c>
      <c r="F653" s="52">
        <v>77.394003814779268</v>
      </c>
      <c r="H653" s="53"/>
      <c r="J653" s="11" t="s">
        <v>797</v>
      </c>
      <c r="K653" s="6"/>
      <c r="L653" s="6">
        <v>361.33499999999998</v>
      </c>
    </row>
    <row r="654" spans="2:21" x14ac:dyDescent="0.25">
      <c r="B654" s="11">
        <v>61</v>
      </c>
      <c r="C654" t="s">
        <v>82</v>
      </c>
      <c r="D654" t="s">
        <v>776</v>
      </c>
      <c r="E654" s="6">
        <v>138</v>
      </c>
      <c r="F654" s="52">
        <v>99.99972380014178</v>
      </c>
      <c r="H654" s="53">
        <v>1</v>
      </c>
      <c r="K654" s="6"/>
      <c r="L654" s="6">
        <v>15.457985398234163</v>
      </c>
    </row>
    <row r="655" spans="2:21" x14ac:dyDescent="0.25">
      <c r="B655" s="11">
        <v>61</v>
      </c>
      <c r="C655" t="s">
        <v>82</v>
      </c>
      <c r="D655" t="s">
        <v>777</v>
      </c>
      <c r="E655" s="6">
        <v>231.012962397</v>
      </c>
      <c r="F655" s="52">
        <v>99.99972380014178</v>
      </c>
      <c r="H655" s="53">
        <v>1</v>
      </c>
      <c r="K655" s="6"/>
      <c r="L655" s="6">
        <v>25.876775358953939</v>
      </c>
    </row>
    <row r="656" spans="2:21" x14ac:dyDescent="0.25">
      <c r="B656" s="11">
        <v>61</v>
      </c>
      <c r="C656" t="s">
        <v>82</v>
      </c>
      <c r="D656" t="s">
        <v>778</v>
      </c>
      <c r="E656" s="6">
        <v>1139</v>
      </c>
      <c r="F656" s="52">
        <v>129.98733323968395</v>
      </c>
      <c r="H656" s="53"/>
      <c r="J656" s="11" t="s">
        <v>797</v>
      </c>
      <c r="K656" s="6"/>
      <c r="L656" s="6">
        <v>165.84399999999999</v>
      </c>
    </row>
    <row r="657" spans="2:12" x14ac:dyDescent="0.25">
      <c r="B657" s="11">
        <v>61</v>
      </c>
      <c r="C657" t="s">
        <v>82</v>
      </c>
      <c r="D657" t="s">
        <v>779</v>
      </c>
      <c r="E657" s="6">
        <v>30</v>
      </c>
      <c r="F657" s="52">
        <v>99.99972380014178</v>
      </c>
      <c r="H657" s="53">
        <v>1</v>
      </c>
      <c r="K657" s="6"/>
      <c r="L657" s="6">
        <v>3.3604316083117745</v>
      </c>
    </row>
    <row r="658" spans="2:12" x14ac:dyDescent="0.25">
      <c r="B658" s="11">
        <v>61</v>
      </c>
      <c r="C658" t="s">
        <v>82</v>
      </c>
      <c r="D658" t="s">
        <v>780</v>
      </c>
      <c r="E658" s="6">
        <v>87</v>
      </c>
      <c r="F658" s="52">
        <v>99.99972380014178</v>
      </c>
      <c r="H658" s="53">
        <v>1</v>
      </c>
      <c r="K658" s="6"/>
      <c r="L658" s="6">
        <v>9.7452516641041456</v>
      </c>
    </row>
    <row r="659" spans="2:12" x14ac:dyDescent="0.25">
      <c r="B659" s="11">
        <v>61</v>
      </c>
      <c r="C659" t="s">
        <v>82</v>
      </c>
      <c r="D659" t="s">
        <v>781</v>
      </c>
      <c r="E659" s="6">
        <v>206</v>
      </c>
      <c r="F659" s="52">
        <v>87.965225825242712</v>
      </c>
      <c r="H659" s="53"/>
      <c r="J659" s="11" t="s">
        <v>797</v>
      </c>
      <c r="K659" s="6"/>
      <c r="L659" s="6">
        <v>20.297999999999998</v>
      </c>
    </row>
    <row r="660" spans="2:12" x14ac:dyDescent="0.25">
      <c r="B660" s="11">
        <v>61</v>
      </c>
      <c r="C660" t="s">
        <v>82</v>
      </c>
      <c r="D660" t="s">
        <v>782</v>
      </c>
      <c r="E660" s="6">
        <v>83.516998878199999</v>
      </c>
      <c r="F660" s="52">
        <v>79.99977904011341</v>
      </c>
      <c r="H660" s="53">
        <v>1</v>
      </c>
      <c r="K660" s="6"/>
      <c r="L660" s="6">
        <v>7.4840843429771269</v>
      </c>
    </row>
    <row r="661" spans="2:12" x14ac:dyDescent="0.25">
      <c r="B661" s="11">
        <v>61</v>
      </c>
      <c r="C661" t="s">
        <v>82</v>
      </c>
      <c r="D661" t="s">
        <v>783</v>
      </c>
      <c r="E661" s="6">
        <v>29</v>
      </c>
      <c r="F661" s="52">
        <v>79.999779040113424</v>
      </c>
      <c r="H661" s="53">
        <v>1</v>
      </c>
      <c r="K661" s="6"/>
      <c r="L661" s="6">
        <v>2.5987337770944388</v>
      </c>
    </row>
    <row r="662" spans="2:12" x14ac:dyDescent="0.25">
      <c r="B662" s="11">
        <v>61</v>
      </c>
      <c r="C662" t="s">
        <v>82</v>
      </c>
      <c r="D662" t="s">
        <v>784</v>
      </c>
      <c r="E662" s="6">
        <v>89</v>
      </c>
      <c r="F662" s="52">
        <v>99.999723800141794</v>
      </c>
      <c r="H662" s="53">
        <v>1</v>
      </c>
      <c r="K662" s="6"/>
      <c r="L662" s="6">
        <v>9.969280437991598</v>
      </c>
    </row>
    <row r="663" spans="2:12" x14ac:dyDescent="0.25">
      <c r="B663" s="11">
        <v>61</v>
      </c>
      <c r="C663" t="s">
        <v>82</v>
      </c>
      <c r="D663" t="s">
        <v>785</v>
      </c>
      <c r="E663" s="6">
        <v>18883</v>
      </c>
      <c r="F663" s="52">
        <v>158.61110130805486</v>
      </c>
      <c r="H663" s="53">
        <v>4</v>
      </c>
      <c r="J663" s="11" t="s">
        <v>797</v>
      </c>
      <c r="K663" s="6"/>
      <c r="L663" s="6">
        <v>3354.9</v>
      </c>
    </row>
    <row r="664" spans="2:12" x14ac:dyDescent="0.25">
      <c r="B664" s="11">
        <v>61</v>
      </c>
      <c r="C664" t="s">
        <v>82</v>
      </c>
      <c r="D664" t="s">
        <v>786</v>
      </c>
      <c r="E664" s="6">
        <v>2656</v>
      </c>
      <c r="F664" s="52">
        <v>65.140777387048189</v>
      </c>
      <c r="H664" s="53"/>
      <c r="J664" s="11" t="s">
        <v>797</v>
      </c>
      <c r="K664" s="6"/>
      <c r="L664" s="6">
        <v>193.80099999999999</v>
      </c>
    </row>
    <row r="665" spans="2:12" x14ac:dyDescent="0.25">
      <c r="B665" s="11">
        <v>61</v>
      </c>
      <c r="C665" t="s">
        <v>82</v>
      </c>
      <c r="D665" t="s">
        <v>787</v>
      </c>
      <c r="E665" s="6">
        <v>88</v>
      </c>
      <c r="F665" s="52">
        <v>40.903723636363637</v>
      </c>
      <c r="H665" s="53"/>
      <c r="J665" s="11" t="s">
        <v>797</v>
      </c>
      <c r="K665" s="6"/>
      <c r="L665" s="6">
        <v>4.032</v>
      </c>
    </row>
    <row r="666" spans="2:12" x14ac:dyDescent="0.25">
      <c r="B666" s="11">
        <v>61</v>
      </c>
      <c r="C666" t="s">
        <v>82</v>
      </c>
      <c r="D666" t="s">
        <v>788</v>
      </c>
      <c r="E666" s="6">
        <v>1208</v>
      </c>
      <c r="F666" s="52">
        <v>70.86936675496689</v>
      </c>
      <c r="H666" s="53"/>
      <c r="J666" s="11" t="s">
        <v>797</v>
      </c>
      <c r="K666" s="6"/>
      <c r="L666" s="6">
        <v>95.896000000000001</v>
      </c>
    </row>
    <row r="667" spans="2:12" x14ac:dyDescent="0.25">
      <c r="B667" s="11">
        <v>61</v>
      </c>
      <c r="C667" t="s">
        <v>82</v>
      </c>
      <c r="D667" t="s">
        <v>789</v>
      </c>
      <c r="E667" s="6">
        <v>111</v>
      </c>
      <c r="F667" s="52">
        <v>99.999723800141766</v>
      </c>
      <c r="H667" s="53">
        <v>1</v>
      </c>
      <c r="K667" s="6"/>
      <c r="L667" s="6">
        <v>12.433596950753564</v>
      </c>
    </row>
    <row r="668" spans="2:12" x14ac:dyDescent="0.25">
      <c r="B668" s="11">
        <v>61</v>
      </c>
      <c r="C668" t="s">
        <v>82</v>
      </c>
      <c r="D668" t="s">
        <v>790</v>
      </c>
      <c r="E668" s="6">
        <v>5249</v>
      </c>
      <c r="F668" s="52">
        <v>157.05518693988475</v>
      </c>
      <c r="H668" s="53"/>
      <c r="J668" s="11" t="s">
        <v>797</v>
      </c>
      <c r="K668" s="6"/>
      <c r="L668" s="6">
        <v>923.49699999999996</v>
      </c>
    </row>
    <row r="669" spans="2:12" x14ac:dyDescent="0.25">
      <c r="B669" s="11">
        <v>61</v>
      </c>
      <c r="C669" t="s">
        <v>82</v>
      </c>
      <c r="D669" t="s">
        <v>791</v>
      </c>
      <c r="E669" s="6">
        <v>41</v>
      </c>
      <c r="F669" s="52">
        <v>99.99972380014178</v>
      </c>
      <c r="H669" s="53">
        <v>1</v>
      </c>
      <c r="K669" s="6"/>
      <c r="L669" s="6">
        <v>4.5925898646927585</v>
      </c>
    </row>
    <row r="670" spans="2:12" x14ac:dyDescent="0.25">
      <c r="B670" s="11">
        <v>61</v>
      </c>
      <c r="C670" t="s">
        <v>82</v>
      </c>
      <c r="D670" t="s">
        <v>792</v>
      </c>
      <c r="E670" s="6">
        <v>85</v>
      </c>
      <c r="F670" s="52">
        <v>59.656037647058817</v>
      </c>
      <c r="H670" s="53">
        <v>5</v>
      </c>
      <c r="K670" s="6"/>
      <c r="L670" s="6">
        <v>5.68</v>
      </c>
    </row>
    <row r="671" spans="2:12" x14ac:dyDescent="0.25">
      <c r="B671" s="11">
        <v>61</v>
      </c>
      <c r="C671" t="s">
        <v>82</v>
      </c>
      <c r="D671" t="s">
        <v>793</v>
      </c>
      <c r="E671" s="6">
        <v>50</v>
      </c>
      <c r="F671" s="52">
        <v>48.904297199999995</v>
      </c>
      <c r="H671" s="53"/>
      <c r="J671" s="11" t="s">
        <v>797</v>
      </c>
      <c r="K671" s="6"/>
      <c r="L671" s="6">
        <v>2.7389999999999999</v>
      </c>
    </row>
    <row r="672" spans="2:12" x14ac:dyDescent="0.25">
      <c r="B672" s="11">
        <v>61</v>
      </c>
      <c r="C672" t="s">
        <v>82</v>
      </c>
      <c r="D672" t="s">
        <v>16</v>
      </c>
      <c r="E672" s="6">
        <v>33248</v>
      </c>
      <c r="F672" s="52">
        <v>99.99911002814153</v>
      </c>
      <c r="H672" s="54"/>
      <c r="K672" s="6"/>
      <c r="L672" s="6">
        <v>3724.2211922894576</v>
      </c>
    </row>
    <row r="673" spans="2:21" ht="15.75" thickBot="1" x14ac:dyDescent="0.3">
      <c r="B673" s="13"/>
      <c r="C673" s="3"/>
      <c r="D673" s="60" t="s">
        <v>42</v>
      </c>
      <c r="E673" s="61">
        <v>76204.529961275199</v>
      </c>
      <c r="F673" s="62"/>
      <c r="G673" s="63"/>
      <c r="H673" s="64"/>
      <c r="I673" s="63"/>
      <c r="J673" s="63"/>
      <c r="K673" s="61">
        <v>0</v>
      </c>
      <c r="L673" s="61">
        <v>10272.931921692572</v>
      </c>
      <c r="N673" s="6"/>
      <c r="T673" s="6"/>
      <c r="U673" s="6"/>
    </row>
    <row r="674" spans="2:21" x14ac:dyDescent="0.25">
      <c r="D674" s="65" t="s">
        <v>15</v>
      </c>
      <c r="E674" s="6">
        <v>2117522.3257636647</v>
      </c>
      <c r="F674" s="66"/>
      <c r="G674" s="66"/>
      <c r="H674" s="66"/>
      <c r="I674" s="66"/>
      <c r="J674" s="66"/>
      <c r="K674" s="6">
        <v>70332.7985581057</v>
      </c>
      <c r="L674" s="6">
        <v>259621.39426342267</v>
      </c>
      <c r="N674" s="6"/>
      <c r="T674" s="6"/>
      <c r="U674" s="6"/>
    </row>
    <row r="677" spans="2:21" x14ac:dyDescent="0.25">
      <c r="B677" s="14" t="s">
        <v>799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88DD3-82A5-4B7F-B755-A3D3194083AC}">
  <dimension ref="B2:P188"/>
  <sheetViews>
    <sheetView workbookViewId="0">
      <pane ySplit="3" topLeftCell="A4" activePane="bottomLeft" state="frozen"/>
      <selection pane="bottomLeft" activeCell="A4" sqref="A4"/>
    </sheetView>
  </sheetViews>
  <sheetFormatPr defaultRowHeight="15" x14ac:dyDescent="0.25"/>
  <cols>
    <col min="2" max="2" width="13.7109375" customWidth="1"/>
    <col min="4" max="4" width="29.42578125" bestFit="1" customWidth="1"/>
    <col min="5" max="5" width="6.85546875" style="11" customWidth="1"/>
    <col min="6" max="6" width="9.140625" style="17"/>
    <col min="7" max="11" width="9.140625" style="6"/>
    <col min="12" max="12" width="9.140625" style="17"/>
    <col min="13" max="13" width="9.140625" style="6"/>
    <col min="14" max="14" width="9.140625" style="17"/>
    <col min="15" max="16" width="9.140625" style="6"/>
  </cols>
  <sheetData>
    <row r="2" spans="2:16" ht="18" customHeight="1" thickBot="1" x14ac:dyDescent="0.3">
      <c r="B2" s="2" t="s">
        <v>800</v>
      </c>
      <c r="C2" s="3"/>
      <c r="D2" s="3"/>
      <c r="E2" s="13"/>
      <c r="F2" s="15"/>
      <c r="G2" s="7"/>
      <c r="H2" s="7"/>
      <c r="I2" s="7"/>
      <c r="J2" s="7"/>
      <c r="K2" s="7"/>
      <c r="L2" s="15"/>
      <c r="M2" s="7"/>
      <c r="N2" s="15"/>
      <c r="O2" s="7"/>
      <c r="P2" s="7"/>
    </row>
    <row r="3" spans="2:16" ht="18" customHeight="1" thickBot="1" x14ac:dyDescent="0.3">
      <c r="B3" s="4" t="s">
        <v>41</v>
      </c>
      <c r="C3" s="4" t="s">
        <v>78</v>
      </c>
      <c r="D3" s="4" t="s">
        <v>91</v>
      </c>
      <c r="E3" s="10" t="s">
        <v>92</v>
      </c>
      <c r="F3" s="19" t="s">
        <v>93</v>
      </c>
      <c r="G3" s="18" t="s">
        <v>94</v>
      </c>
      <c r="H3" s="18" t="s">
        <v>95</v>
      </c>
      <c r="I3" s="18" t="s">
        <v>96</v>
      </c>
      <c r="J3" s="21" t="s">
        <v>97</v>
      </c>
      <c r="K3" s="18" t="s">
        <v>98</v>
      </c>
      <c r="L3" s="16" t="s">
        <v>99</v>
      </c>
      <c r="M3" s="18" t="s">
        <v>100</v>
      </c>
      <c r="N3" s="16" t="s">
        <v>101</v>
      </c>
      <c r="O3" s="18" t="s">
        <v>102</v>
      </c>
      <c r="P3" s="18" t="s">
        <v>103</v>
      </c>
    </row>
    <row r="4" spans="2:16" ht="18" customHeight="1" x14ac:dyDescent="0.25">
      <c r="B4" t="s">
        <v>43</v>
      </c>
      <c r="C4" t="s">
        <v>82</v>
      </c>
      <c r="D4" t="s">
        <v>179</v>
      </c>
      <c r="E4" s="11" t="s">
        <v>104</v>
      </c>
      <c r="F4" s="20">
        <v>2.6766233333333336</v>
      </c>
      <c r="G4" s="23">
        <v>3525.899383983573</v>
      </c>
      <c r="H4" s="24">
        <v>0</v>
      </c>
      <c r="I4" s="24">
        <v>1523.3254620123203</v>
      </c>
      <c r="J4" s="25">
        <v>507.77515400410675</v>
      </c>
      <c r="K4" s="24">
        <v>5557</v>
      </c>
      <c r="L4" s="26">
        <v>0.5</v>
      </c>
      <c r="M4" s="24">
        <v>27063.845174537986</v>
      </c>
      <c r="N4" s="26">
        <v>0.68404840981244253</v>
      </c>
      <c r="O4" s="24">
        <v>39564.224967584611</v>
      </c>
      <c r="P4" s="24">
        <v>2721.6748254620124</v>
      </c>
    </row>
    <row r="5" spans="2:16" ht="18" customHeight="1" thickBot="1" x14ac:dyDescent="0.3">
      <c r="B5" s="35"/>
      <c r="C5" s="35"/>
      <c r="D5" s="35"/>
      <c r="E5" s="36"/>
      <c r="F5" s="37" t="s">
        <v>42</v>
      </c>
      <c r="G5" s="38">
        <v>3525.899383983573</v>
      </c>
      <c r="H5" s="38">
        <v>0</v>
      </c>
      <c r="I5" s="38">
        <v>1523.3254620123203</v>
      </c>
      <c r="J5" s="39">
        <v>507.77515400410675</v>
      </c>
      <c r="K5" s="38">
        <v>5557</v>
      </c>
      <c r="L5" s="40"/>
      <c r="M5" s="38">
        <v>27063.845174537986</v>
      </c>
      <c r="N5" s="40"/>
      <c r="O5" s="38">
        <v>39564.224967584611</v>
      </c>
      <c r="P5" s="38">
        <v>2721.6748254620124</v>
      </c>
    </row>
    <row r="6" spans="2:16" ht="18" customHeight="1" thickTop="1" x14ac:dyDescent="0.25">
      <c r="B6" t="s">
        <v>44</v>
      </c>
      <c r="C6" t="s">
        <v>80</v>
      </c>
      <c r="D6" t="s">
        <v>105</v>
      </c>
      <c r="E6" s="11" t="s">
        <v>106</v>
      </c>
      <c r="F6" s="20">
        <v>2.0158333333333331</v>
      </c>
      <c r="G6" s="6">
        <v>0</v>
      </c>
      <c r="H6" s="6">
        <v>44</v>
      </c>
      <c r="I6" s="6">
        <v>0</v>
      </c>
      <c r="J6" s="22">
        <v>0</v>
      </c>
      <c r="K6" s="6">
        <v>44</v>
      </c>
      <c r="L6" s="17">
        <v>0.5</v>
      </c>
      <c r="M6" s="6">
        <v>0</v>
      </c>
      <c r="N6" s="17" t="s">
        <v>107</v>
      </c>
      <c r="O6" s="6">
        <v>0</v>
      </c>
      <c r="P6" s="6">
        <v>175.82098333333332</v>
      </c>
    </row>
    <row r="7" spans="2:16" ht="18" customHeight="1" x14ac:dyDescent="0.25">
      <c r="B7" t="s">
        <v>44</v>
      </c>
      <c r="C7" t="s">
        <v>80</v>
      </c>
      <c r="D7" t="s">
        <v>180</v>
      </c>
      <c r="E7" s="11" t="s">
        <v>104</v>
      </c>
      <c r="F7" s="20">
        <v>2.5775000000000001</v>
      </c>
      <c r="G7" s="6">
        <v>613</v>
      </c>
      <c r="H7" s="6">
        <v>0</v>
      </c>
      <c r="I7" s="6">
        <v>0</v>
      </c>
      <c r="J7" s="22">
        <v>0</v>
      </c>
      <c r="K7" s="6">
        <v>613</v>
      </c>
      <c r="L7" s="17">
        <v>0.55000000000000004</v>
      </c>
      <c r="M7" s="6">
        <v>2575.2075484098677</v>
      </c>
      <c r="N7" s="17" t="s">
        <v>107</v>
      </c>
      <c r="O7" s="6">
        <v>10118.472748724347</v>
      </c>
      <c r="P7" s="6">
        <v>0</v>
      </c>
    </row>
    <row r="8" spans="2:16" ht="18" customHeight="1" x14ac:dyDescent="0.25">
      <c r="B8" t="s">
        <v>44</v>
      </c>
      <c r="C8" t="s">
        <v>80</v>
      </c>
      <c r="D8" t="s">
        <v>108</v>
      </c>
      <c r="E8" s="11" t="s">
        <v>106</v>
      </c>
      <c r="F8" s="20">
        <v>2.5775000000000001</v>
      </c>
      <c r="G8" s="6">
        <v>0</v>
      </c>
      <c r="H8" s="6">
        <v>65</v>
      </c>
      <c r="I8" s="6">
        <v>0</v>
      </c>
      <c r="J8" s="22">
        <v>0</v>
      </c>
      <c r="K8" s="6">
        <v>65</v>
      </c>
      <c r="L8" s="17">
        <v>0.55000000000000004</v>
      </c>
      <c r="M8" s="6">
        <v>0</v>
      </c>
      <c r="N8" s="17" t="s">
        <v>107</v>
      </c>
      <c r="O8" s="6">
        <v>0</v>
      </c>
      <c r="P8" s="6">
        <v>303.53577272727267</v>
      </c>
    </row>
    <row r="9" spans="2:16" ht="18" customHeight="1" x14ac:dyDescent="0.25">
      <c r="B9" t="s">
        <v>44</v>
      </c>
      <c r="C9" t="s">
        <v>80</v>
      </c>
      <c r="D9" t="s">
        <v>181</v>
      </c>
      <c r="E9" s="11" t="s">
        <v>104</v>
      </c>
      <c r="F9" s="20">
        <v>1.7108333333333334</v>
      </c>
      <c r="G9" s="6">
        <v>114</v>
      </c>
      <c r="H9" s="6">
        <v>0</v>
      </c>
      <c r="I9" s="6">
        <v>0</v>
      </c>
      <c r="J9" s="22">
        <v>0</v>
      </c>
      <c r="K9" s="6">
        <v>114</v>
      </c>
      <c r="L9" s="17">
        <v>0.4</v>
      </c>
      <c r="M9" s="6">
        <v>415.61276038545185</v>
      </c>
      <c r="N9" s="17" t="s">
        <v>107</v>
      </c>
      <c r="O9" s="6">
        <v>1942.2744714595724</v>
      </c>
      <c r="P9" s="6">
        <v>0</v>
      </c>
    </row>
    <row r="10" spans="2:16" ht="18" customHeight="1" x14ac:dyDescent="0.25">
      <c r="B10" t="s">
        <v>44</v>
      </c>
      <c r="C10" t="s">
        <v>80</v>
      </c>
      <c r="D10" t="s">
        <v>182</v>
      </c>
      <c r="E10" s="11" t="s">
        <v>104</v>
      </c>
      <c r="F10" s="20">
        <v>2.026666666666666</v>
      </c>
      <c r="G10" s="6">
        <v>260</v>
      </c>
      <c r="H10" s="6">
        <v>0</v>
      </c>
      <c r="I10" s="6">
        <v>0</v>
      </c>
      <c r="J10" s="22">
        <v>0</v>
      </c>
      <c r="K10" s="6">
        <v>260</v>
      </c>
      <c r="L10" s="17">
        <v>0.5</v>
      </c>
      <c r="M10" s="6">
        <v>665.95271090360939</v>
      </c>
      <c r="N10" s="17" t="s">
        <v>107</v>
      </c>
      <c r="O10" s="6">
        <v>4751.982963450997</v>
      </c>
      <c r="P10" s="6">
        <v>0</v>
      </c>
    </row>
    <row r="11" spans="2:16" ht="18" customHeight="1" x14ac:dyDescent="0.25">
      <c r="B11" t="s">
        <v>44</v>
      </c>
      <c r="C11" t="s">
        <v>80</v>
      </c>
      <c r="D11" t="s">
        <v>109</v>
      </c>
      <c r="E11" s="11" t="s">
        <v>106</v>
      </c>
      <c r="F11" s="20">
        <v>2.026666666666666</v>
      </c>
      <c r="G11" s="29">
        <v>0</v>
      </c>
      <c r="H11" s="30">
        <v>40</v>
      </c>
      <c r="I11" s="30">
        <v>0</v>
      </c>
      <c r="J11" s="31">
        <v>0</v>
      </c>
      <c r="K11" s="30">
        <v>40</v>
      </c>
      <c r="L11" s="32">
        <v>0.5</v>
      </c>
      <c r="M11" s="30">
        <v>0</v>
      </c>
      <c r="N11" s="32" t="s">
        <v>107</v>
      </c>
      <c r="O11" s="30">
        <v>0</v>
      </c>
      <c r="P11" s="30">
        <v>162.61973333333327</v>
      </c>
    </row>
    <row r="12" spans="2:16" ht="18" customHeight="1" thickBot="1" x14ac:dyDescent="0.3">
      <c r="B12" s="35"/>
      <c r="C12" s="35"/>
      <c r="D12" s="35"/>
      <c r="E12" s="36"/>
      <c r="F12" s="37" t="s">
        <v>42</v>
      </c>
      <c r="G12" s="38">
        <v>987</v>
      </c>
      <c r="H12" s="38">
        <v>149</v>
      </c>
      <c r="I12" s="38">
        <v>0</v>
      </c>
      <c r="J12" s="39">
        <v>0</v>
      </c>
      <c r="K12" s="38">
        <v>1136</v>
      </c>
      <c r="L12" s="40"/>
      <c r="M12" s="38">
        <v>3656.7730196989291</v>
      </c>
      <c r="N12" s="40"/>
      <c r="O12" s="38">
        <v>16812.730183634914</v>
      </c>
      <c r="P12" s="38">
        <v>641.97648939393935</v>
      </c>
    </row>
    <row r="13" spans="2:16" ht="18" customHeight="1" thickTop="1" x14ac:dyDescent="0.25">
      <c r="B13" t="s">
        <v>45</v>
      </c>
      <c r="C13" t="s">
        <v>81</v>
      </c>
      <c r="D13" t="s">
        <v>183</v>
      </c>
      <c r="E13" s="11" t="s">
        <v>104</v>
      </c>
      <c r="F13" s="20">
        <v>3.1916666666666664</v>
      </c>
      <c r="G13" s="6">
        <v>123.95403837572512</v>
      </c>
      <c r="H13" s="6">
        <v>4757.6848505131638</v>
      </c>
      <c r="I13" s="6">
        <v>314.94444444444446</v>
      </c>
      <c r="J13" s="22">
        <v>472.41666666666669</v>
      </c>
      <c r="K13" s="6">
        <v>5669</v>
      </c>
      <c r="L13" s="17">
        <v>0.6</v>
      </c>
      <c r="M13" s="6">
        <v>2334.6960961128466</v>
      </c>
      <c r="N13" s="17">
        <v>0.75</v>
      </c>
      <c r="O13" s="6">
        <v>3112.9281281504623</v>
      </c>
      <c r="P13" s="6">
        <v>24316</v>
      </c>
    </row>
    <row r="14" spans="2:16" ht="18" customHeight="1" x14ac:dyDescent="0.25">
      <c r="B14" t="s">
        <v>45</v>
      </c>
      <c r="C14" t="s">
        <v>81</v>
      </c>
      <c r="D14" t="s">
        <v>183</v>
      </c>
      <c r="E14" s="11" t="s">
        <v>106</v>
      </c>
      <c r="F14" s="20">
        <v>2.8695727999367757</v>
      </c>
      <c r="G14" s="6">
        <v>1223.3601070950469</v>
      </c>
      <c r="H14" s="6">
        <v>46955.806559571618</v>
      </c>
      <c r="I14" s="6">
        <v>3108.3333333333335</v>
      </c>
      <c r="J14" s="22">
        <v>4662.5</v>
      </c>
      <c r="K14" s="6">
        <v>55950</v>
      </c>
      <c r="L14" s="17">
        <v>0.7</v>
      </c>
      <c r="M14" s="6">
        <v>17757.299534739759</v>
      </c>
      <c r="N14" s="17">
        <v>0.75</v>
      </c>
      <c r="O14" s="6">
        <v>23676.399379653012</v>
      </c>
      <c r="P14" s="6">
        <v>184941</v>
      </c>
    </row>
    <row r="15" spans="2:16" ht="18" customHeight="1" x14ac:dyDescent="0.25">
      <c r="B15" t="s">
        <v>45</v>
      </c>
      <c r="C15" t="s">
        <v>81</v>
      </c>
      <c r="D15" t="s">
        <v>110</v>
      </c>
      <c r="E15" s="11" t="s">
        <v>104</v>
      </c>
      <c r="F15" s="20">
        <v>2.6583333333333332</v>
      </c>
      <c r="G15" s="6">
        <v>377</v>
      </c>
      <c r="H15" s="6">
        <v>0</v>
      </c>
      <c r="I15" s="6">
        <v>0</v>
      </c>
      <c r="J15" s="22">
        <v>0</v>
      </c>
      <c r="K15" s="6">
        <v>377</v>
      </c>
      <c r="L15" s="17">
        <v>0.55000000000000004</v>
      </c>
      <c r="M15" s="6">
        <v>1822.1666666666665</v>
      </c>
      <c r="N15" s="17">
        <v>0.7</v>
      </c>
      <c r="O15" s="6">
        <v>2603.0952380952381</v>
      </c>
      <c r="P15" s="6">
        <v>0</v>
      </c>
    </row>
    <row r="16" spans="2:16" ht="18" customHeight="1" x14ac:dyDescent="0.25">
      <c r="B16" t="s">
        <v>45</v>
      </c>
      <c r="C16" t="s">
        <v>81</v>
      </c>
      <c r="D16" t="s">
        <v>111</v>
      </c>
      <c r="E16" s="11" t="s">
        <v>104</v>
      </c>
      <c r="F16" s="20">
        <v>2.855</v>
      </c>
      <c r="G16" s="29">
        <v>11.076923076923077</v>
      </c>
      <c r="H16" s="30">
        <v>16.615384615384617</v>
      </c>
      <c r="I16" s="30">
        <v>265.84615384615387</v>
      </c>
      <c r="J16" s="31">
        <v>66.461538461538467</v>
      </c>
      <c r="K16" s="30">
        <v>360</v>
      </c>
      <c r="L16" s="32">
        <v>0.55000000000000004</v>
      </c>
      <c r="M16" s="30">
        <v>1437.4825174825176</v>
      </c>
      <c r="N16" s="32">
        <v>0.7</v>
      </c>
      <c r="O16" s="30">
        <v>2053.5464535464539</v>
      </c>
      <c r="P16" s="30">
        <v>431.24475524475525</v>
      </c>
    </row>
    <row r="17" spans="2:16" ht="18" customHeight="1" thickBot="1" x14ac:dyDescent="0.3">
      <c r="B17" s="35"/>
      <c r="C17" s="35"/>
      <c r="D17" s="35"/>
      <c r="E17" s="36"/>
      <c r="F17" s="37" t="s">
        <v>42</v>
      </c>
      <c r="G17" s="38">
        <v>1735.3910685476951</v>
      </c>
      <c r="H17" s="38">
        <v>51730.106794700165</v>
      </c>
      <c r="I17" s="38">
        <v>3689.1239316239316</v>
      </c>
      <c r="J17" s="39">
        <v>5201.3782051282051</v>
      </c>
      <c r="K17" s="38">
        <v>62356</v>
      </c>
      <c r="L17" s="40"/>
      <c r="M17" s="38">
        <v>23351.64481500179</v>
      </c>
      <c r="N17" s="40"/>
      <c r="O17" s="38">
        <v>31445.969199445164</v>
      </c>
      <c r="P17" s="38">
        <v>209688.24475524476</v>
      </c>
    </row>
    <row r="18" spans="2:16" ht="18" customHeight="1" thickTop="1" x14ac:dyDescent="0.25">
      <c r="B18" t="s">
        <v>46</v>
      </c>
      <c r="C18" t="s">
        <v>82</v>
      </c>
      <c r="D18" t="s">
        <v>112</v>
      </c>
      <c r="E18" s="11" t="s">
        <v>104</v>
      </c>
      <c r="F18" s="20">
        <v>1.8883333333333334</v>
      </c>
      <c r="G18" s="29">
        <v>384.81957186544344</v>
      </c>
      <c r="H18" s="30">
        <v>83.743119266055047</v>
      </c>
      <c r="I18" s="30">
        <v>128.40611620795107</v>
      </c>
      <c r="J18" s="31">
        <v>55.03119266055046</v>
      </c>
      <c r="K18" s="30">
        <v>652</v>
      </c>
      <c r="L18" s="32">
        <v>0.55000000000000004</v>
      </c>
      <c r="M18" s="30">
        <v>1762.074862385321</v>
      </c>
      <c r="N18" s="32">
        <v>0.7</v>
      </c>
      <c r="O18" s="30">
        <v>2517.2498034076016</v>
      </c>
      <c r="P18" s="30">
        <v>476.45847094801223</v>
      </c>
    </row>
    <row r="19" spans="2:16" ht="18" customHeight="1" thickBot="1" x14ac:dyDescent="0.3">
      <c r="B19" s="35"/>
      <c r="C19" s="35"/>
      <c r="D19" s="35"/>
      <c r="E19" s="36"/>
      <c r="F19" s="37" t="s">
        <v>42</v>
      </c>
      <c r="G19" s="38">
        <v>384.81957186544344</v>
      </c>
      <c r="H19" s="38">
        <v>83.743119266055047</v>
      </c>
      <c r="I19" s="38">
        <v>128.40611620795107</v>
      </c>
      <c r="J19" s="39">
        <v>55.03119266055046</v>
      </c>
      <c r="K19" s="38">
        <v>652</v>
      </c>
      <c r="L19" s="40"/>
      <c r="M19" s="38">
        <v>1762.074862385321</v>
      </c>
      <c r="N19" s="40"/>
      <c r="O19" s="38">
        <v>2517.2498034076016</v>
      </c>
      <c r="P19" s="38">
        <v>476.45847094801223</v>
      </c>
    </row>
    <row r="20" spans="2:16" ht="18" customHeight="1" thickTop="1" x14ac:dyDescent="0.25">
      <c r="B20" t="s">
        <v>47</v>
      </c>
      <c r="C20" t="s">
        <v>79</v>
      </c>
      <c r="D20" t="s">
        <v>113</v>
      </c>
      <c r="E20" s="11" t="s">
        <v>104</v>
      </c>
      <c r="F20" s="20">
        <v>1.6249866666666666</v>
      </c>
      <c r="G20" s="6">
        <v>3830</v>
      </c>
      <c r="H20" s="6">
        <v>0</v>
      </c>
      <c r="I20" s="6">
        <v>0</v>
      </c>
      <c r="J20" s="22">
        <v>0</v>
      </c>
      <c r="K20" s="6">
        <v>3830</v>
      </c>
      <c r="L20" s="17">
        <v>0.55000000000000004</v>
      </c>
      <c r="M20" s="6">
        <v>11315.816242424242</v>
      </c>
      <c r="N20" s="17">
        <v>0.6</v>
      </c>
      <c r="O20" s="6">
        <v>18859.693737373738</v>
      </c>
      <c r="P20" s="6">
        <v>0</v>
      </c>
    </row>
    <row r="21" spans="2:16" ht="18" customHeight="1" x14ac:dyDescent="0.25">
      <c r="B21" t="s">
        <v>47</v>
      </c>
      <c r="C21" t="s">
        <v>79</v>
      </c>
      <c r="D21" t="s">
        <v>113</v>
      </c>
      <c r="E21" s="11" t="s">
        <v>106</v>
      </c>
      <c r="F21" s="20">
        <v>1.54</v>
      </c>
      <c r="G21" s="6">
        <v>100</v>
      </c>
      <c r="H21" s="6">
        <v>0</v>
      </c>
      <c r="I21" s="6">
        <v>0</v>
      </c>
      <c r="J21" s="22">
        <v>0</v>
      </c>
      <c r="K21" s="6">
        <v>100</v>
      </c>
      <c r="L21" s="17">
        <v>0.65</v>
      </c>
      <c r="M21" s="6">
        <v>236.92307692307691</v>
      </c>
      <c r="N21" s="17">
        <v>0.6</v>
      </c>
      <c r="O21" s="6">
        <v>394.87179487179486</v>
      </c>
      <c r="P21" s="6">
        <v>0</v>
      </c>
    </row>
    <row r="22" spans="2:16" ht="18" customHeight="1" x14ac:dyDescent="0.25">
      <c r="B22" t="s">
        <v>47</v>
      </c>
      <c r="C22" t="s">
        <v>79</v>
      </c>
      <c r="D22" t="s">
        <v>114</v>
      </c>
      <c r="E22" s="11" t="s">
        <v>104</v>
      </c>
      <c r="F22" s="20">
        <v>1.3499999999999999</v>
      </c>
      <c r="G22" s="6">
        <v>0</v>
      </c>
      <c r="H22" s="6">
        <v>50</v>
      </c>
      <c r="I22" s="6">
        <v>0</v>
      </c>
      <c r="J22" s="22">
        <v>0</v>
      </c>
      <c r="K22" s="6">
        <v>50</v>
      </c>
      <c r="L22" s="17">
        <v>0.55000000000000004</v>
      </c>
      <c r="M22" s="6">
        <v>0</v>
      </c>
      <c r="N22" s="17" t="s">
        <v>107</v>
      </c>
      <c r="O22" s="6">
        <v>0</v>
      </c>
      <c r="P22" s="6">
        <v>122.72727272727272</v>
      </c>
    </row>
    <row r="23" spans="2:16" ht="18" customHeight="1" x14ac:dyDescent="0.25">
      <c r="B23" t="s">
        <v>47</v>
      </c>
      <c r="C23" t="s">
        <v>79</v>
      </c>
      <c r="D23" t="s">
        <v>184</v>
      </c>
      <c r="E23" s="11" t="s">
        <v>104</v>
      </c>
      <c r="F23" s="20">
        <v>1.68902</v>
      </c>
      <c r="G23" s="6">
        <v>5220</v>
      </c>
      <c r="H23" s="6">
        <v>0</v>
      </c>
      <c r="I23" s="6">
        <v>0</v>
      </c>
      <c r="J23" s="22">
        <v>0</v>
      </c>
      <c r="K23" s="6">
        <v>5220</v>
      </c>
      <c r="L23" s="17">
        <v>0.55000000000000004</v>
      </c>
      <c r="M23" s="6">
        <v>6222.7327680648832</v>
      </c>
      <c r="N23" s="17">
        <v>0.6</v>
      </c>
      <c r="O23" s="6">
        <v>10371.221280108139</v>
      </c>
      <c r="P23" s="6">
        <v>0</v>
      </c>
    </row>
    <row r="24" spans="2:16" ht="18" customHeight="1" x14ac:dyDescent="0.25">
      <c r="B24" t="s">
        <v>47</v>
      </c>
      <c r="C24" t="s">
        <v>79</v>
      </c>
      <c r="D24" t="s">
        <v>184</v>
      </c>
      <c r="E24" s="11" t="s">
        <v>106</v>
      </c>
      <c r="F24" s="20">
        <v>1.3167033333333333</v>
      </c>
      <c r="G24" s="6">
        <v>2740</v>
      </c>
      <c r="H24" s="6">
        <v>0</v>
      </c>
      <c r="I24" s="6">
        <v>0</v>
      </c>
      <c r="J24" s="22">
        <v>0</v>
      </c>
      <c r="K24" s="6">
        <v>2740</v>
      </c>
      <c r="L24" s="17">
        <v>0.65</v>
      </c>
      <c r="M24" s="6">
        <v>2158.7272319351173</v>
      </c>
      <c r="N24" s="17">
        <v>0.6</v>
      </c>
      <c r="O24" s="6">
        <v>3597.8787198918621</v>
      </c>
      <c r="P24" s="6">
        <v>0</v>
      </c>
    </row>
    <row r="25" spans="2:16" ht="18" customHeight="1" x14ac:dyDescent="0.25">
      <c r="B25" t="s">
        <v>47</v>
      </c>
      <c r="C25" t="s">
        <v>79</v>
      </c>
      <c r="D25" t="s">
        <v>115</v>
      </c>
      <c r="E25" s="11" t="s">
        <v>104</v>
      </c>
      <c r="F25" s="20">
        <v>1.9733333333333334</v>
      </c>
      <c r="G25" s="6">
        <v>595</v>
      </c>
      <c r="H25" s="6">
        <v>0</v>
      </c>
      <c r="I25" s="6">
        <v>0</v>
      </c>
      <c r="J25" s="22">
        <v>0</v>
      </c>
      <c r="K25" s="6">
        <v>595</v>
      </c>
      <c r="L25" s="17">
        <v>0.55000000000000004</v>
      </c>
      <c r="M25" s="6">
        <v>2134.787878787879</v>
      </c>
      <c r="N25" s="17">
        <v>0.7</v>
      </c>
      <c r="O25" s="6">
        <v>3049.69696969697</v>
      </c>
      <c r="P25" s="6">
        <v>0</v>
      </c>
    </row>
    <row r="26" spans="2:16" ht="18" customHeight="1" x14ac:dyDescent="0.25">
      <c r="B26" t="s">
        <v>47</v>
      </c>
      <c r="C26" t="s">
        <v>79</v>
      </c>
      <c r="D26" t="s">
        <v>115</v>
      </c>
      <c r="E26" s="11" t="s">
        <v>106</v>
      </c>
      <c r="F26" s="20">
        <v>1.7697208333333332</v>
      </c>
      <c r="G26" s="6">
        <v>0</v>
      </c>
      <c r="H26" s="6">
        <v>496</v>
      </c>
      <c r="I26" s="6">
        <v>0</v>
      </c>
      <c r="J26" s="22">
        <v>0</v>
      </c>
      <c r="K26" s="6">
        <v>496</v>
      </c>
      <c r="L26" s="17">
        <v>0.55000000000000004</v>
      </c>
      <c r="M26" s="6">
        <v>0</v>
      </c>
      <c r="N26" s="17" t="s">
        <v>107</v>
      </c>
      <c r="O26" s="6">
        <v>0</v>
      </c>
      <c r="P26" s="6">
        <v>1595.966424242424</v>
      </c>
    </row>
    <row r="27" spans="2:16" ht="18" customHeight="1" x14ac:dyDescent="0.25">
      <c r="B27" t="s">
        <v>47</v>
      </c>
      <c r="C27" t="s">
        <v>79</v>
      </c>
      <c r="D27" t="s">
        <v>116</v>
      </c>
      <c r="E27" s="11" t="s">
        <v>104</v>
      </c>
      <c r="F27" s="20">
        <v>1.57986</v>
      </c>
      <c r="G27" s="6">
        <v>4090</v>
      </c>
      <c r="H27" s="6">
        <v>0</v>
      </c>
      <c r="I27" s="6">
        <v>0</v>
      </c>
      <c r="J27" s="22">
        <v>0</v>
      </c>
      <c r="K27" s="6">
        <v>4090</v>
      </c>
      <c r="L27" s="17">
        <v>0.55000000000000004</v>
      </c>
      <c r="M27" s="6">
        <v>11748.413454545454</v>
      </c>
      <c r="N27" s="17">
        <v>0.84</v>
      </c>
      <c r="O27" s="6">
        <v>13986.206493506494</v>
      </c>
      <c r="P27" s="6">
        <v>0</v>
      </c>
    </row>
    <row r="28" spans="2:16" ht="18" customHeight="1" x14ac:dyDescent="0.25">
      <c r="B28" t="s">
        <v>47</v>
      </c>
      <c r="C28" t="s">
        <v>79</v>
      </c>
      <c r="D28" t="s">
        <v>116</v>
      </c>
      <c r="E28" s="11" t="s">
        <v>106</v>
      </c>
      <c r="F28" s="20">
        <v>1.54</v>
      </c>
      <c r="G28" s="29">
        <v>1100</v>
      </c>
      <c r="H28" s="30">
        <v>0</v>
      </c>
      <c r="I28" s="30">
        <v>0</v>
      </c>
      <c r="J28" s="31">
        <v>0</v>
      </c>
      <c r="K28" s="30">
        <v>1100</v>
      </c>
      <c r="L28" s="32">
        <v>0.55000000000000004</v>
      </c>
      <c r="M28" s="30">
        <v>3079.9999999999995</v>
      </c>
      <c r="N28" s="32">
        <v>0.84</v>
      </c>
      <c r="O28" s="30">
        <v>3666.6666666666661</v>
      </c>
      <c r="P28" s="30">
        <v>0</v>
      </c>
    </row>
    <row r="29" spans="2:16" ht="18" customHeight="1" thickBot="1" x14ac:dyDescent="0.3">
      <c r="B29" s="35"/>
      <c r="C29" s="35"/>
      <c r="D29" s="35"/>
      <c r="E29" s="36"/>
      <c r="F29" s="37" t="s">
        <v>42</v>
      </c>
      <c r="G29" s="38">
        <v>17675</v>
      </c>
      <c r="H29" s="38">
        <v>546</v>
      </c>
      <c r="I29" s="38">
        <v>0</v>
      </c>
      <c r="J29" s="39">
        <v>0</v>
      </c>
      <c r="K29" s="38">
        <v>18221</v>
      </c>
      <c r="L29" s="40"/>
      <c r="M29" s="38">
        <v>36897.400652680648</v>
      </c>
      <c r="N29" s="40"/>
      <c r="O29" s="38">
        <v>53926.235662115658</v>
      </c>
      <c r="P29" s="38">
        <v>1718.6936969696967</v>
      </c>
    </row>
    <row r="30" spans="2:16" ht="18" customHeight="1" thickTop="1" x14ac:dyDescent="0.25">
      <c r="B30" t="s">
        <v>48</v>
      </c>
      <c r="C30" t="s">
        <v>79</v>
      </c>
      <c r="D30" t="s">
        <v>117</v>
      </c>
      <c r="E30" s="11" t="s">
        <v>106</v>
      </c>
      <c r="F30" s="20">
        <v>1.2599609523809525</v>
      </c>
      <c r="G30" s="6">
        <v>0</v>
      </c>
      <c r="H30" s="6">
        <v>4375</v>
      </c>
      <c r="I30" s="6">
        <v>0</v>
      </c>
      <c r="J30" s="22">
        <v>0</v>
      </c>
      <c r="K30" s="6">
        <v>4375</v>
      </c>
      <c r="L30" s="17">
        <v>0.75</v>
      </c>
      <c r="M30" s="6">
        <v>0</v>
      </c>
      <c r="N30" s="17" t="s">
        <v>107</v>
      </c>
      <c r="O30" s="6">
        <v>0</v>
      </c>
      <c r="P30" s="6">
        <v>7349.7722222222228</v>
      </c>
    </row>
    <row r="31" spans="2:16" ht="18" customHeight="1" x14ac:dyDescent="0.25">
      <c r="B31" t="s">
        <v>48</v>
      </c>
      <c r="C31" t="s">
        <v>81</v>
      </c>
      <c r="D31" t="s">
        <v>118</v>
      </c>
      <c r="E31" s="11" t="s">
        <v>106</v>
      </c>
      <c r="F31" s="20">
        <v>1.3879444444444442</v>
      </c>
      <c r="G31" s="6">
        <v>0</v>
      </c>
      <c r="H31" s="6">
        <v>960</v>
      </c>
      <c r="I31" s="6">
        <v>0</v>
      </c>
      <c r="J31" s="22">
        <v>0</v>
      </c>
      <c r="K31" s="6">
        <v>960</v>
      </c>
      <c r="L31" s="17">
        <v>0.75</v>
      </c>
      <c r="M31" s="6">
        <v>0</v>
      </c>
      <c r="N31" s="17" t="s">
        <v>107</v>
      </c>
      <c r="O31" s="6">
        <v>0</v>
      </c>
      <c r="P31" s="6">
        <v>1776.5688888888888</v>
      </c>
    </row>
    <row r="32" spans="2:16" ht="18" customHeight="1" x14ac:dyDescent="0.25">
      <c r="B32" t="s">
        <v>48</v>
      </c>
      <c r="C32" t="s">
        <v>83</v>
      </c>
      <c r="D32" t="s">
        <v>119</v>
      </c>
      <c r="E32" s="11" t="s">
        <v>104</v>
      </c>
      <c r="F32" s="20">
        <v>2.3233333333333333</v>
      </c>
      <c r="G32" s="6">
        <v>0</v>
      </c>
      <c r="H32" s="6">
        <v>81</v>
      </c>
      <c r="I32" s="6">
        <v>0</v>
      </c>
      <c r="J32" s="22">
        <v>0</v>
      </c>
      <c r="K32" s="6">
        <v>81</v>
      </c>
      <c r="L32" s="17">
        <v>0.65</v>
      </c>
      <c r="M32" s="6">
        <v>0</v>
      </c>
      <c r="N32" s="17" t="s">
        <v>107</v>
      </c>
      <c r="O32" s="6">
        <v>0</v>
      </c>
      <c r="P32" s="6">
        <v>289.52307692307693</v>
      </c>
    </row>
    <row r="33" spans="2:16" ht="18" customHeight="1" x14ac:dyDescent="0.25">
      <c r="B33" t="s">
        <v>48</v>
      </c>
      <c r="C33" t="s">
        <v>83</v>
      </c>
      <c r="D33" t="s">
        <v>119</v>
      </c>
      <c r="E33" s="11" t="s">
        <v>106</v>
      </c>
      <c r="F33" s="20">
        <v>1.2112991666666666</v>
      </c>
      <c r="G33" s="29">
        <v>0</v>
      </c>
      <c r="H33" s="30">
        <v>110751</v>
      </c>
      <c r="I33" s="30">
        <v>0</v>
      </c>
      <c r="J33" s="31">
        <v>0</v>
      </c>
      <c r="K33" s="30">
        <v>110751</v>
      </c>
      <c r="L33" s="32">
        <v>0.75</v>
      </c>
      <c r="M33" s="30">
        <v>0</v>
      </c>
      <c r="N33" s="32" t="s">
        <v>107</v>
      </c>
      <c r="O33" s="30">
        <v>0</v>
      </c>
      <c r="P33" s="30">
        <v>178870.12534333332</v>
      </c>
    </row>
    <row r="34" spans="2:16" ht="18" customHeight="1" thickBot="1" x14ac:dyDescent="0.3">
      <c r="B34" s="35"/>
      <c r="C34" s="35"/>
      <c r="D34" s="35"/>
      <c r="E34" s="36"/>
      <c r="F34" s="37" t="s">
        <v>42</v>
      </c>
      <c r="G34" s="38">
        <v>0</v>
      </c>
      <c r="H34" s="38">
        <v>116167</v>
      </c>
      <c r="I34" s="38">
        <v>0</v>
      </c>
      <c r="J34" s="39">
        <v>0</v>
      </c>
      <c r="K34" s="38">
        <v>116167</v>
      </c>
      <c r="L34" s="40"/>
      <c r="M34" s="38">
        <v>0</v>
      </c>
      <c r="N34" s="40"/>
      <c r="O34" s="38">
        <v>0</v>
      </c>
      <c r="P34" s="38">
        <v>188285.98953136749</v>
      </c>
    </row>
    <row r="35" spans="2:16" ht="18" customHeight="1" thickTop="1" x14ac:dyDescent="0.25">
      <c r="B35" t="s">
        <v>49</v>
      </c>
      <c r="C35" t="s">
        <v>81</v>
      </c>
      <c r="D35" t="s">
        <v>185</v>
      </c>
      <c r="E35" s="11" t="s">
        <v>104</v>
      </c>
      <c r="F35" s="20">
        <v>2.6234671054910792</v>
      </c>
      <c r="G35" s="6">
        <v>5773</v>
      </c>
      <c r="H35" s="6">
        <v>0</v>
      </c>
      <c r="I35" s="6">
        <v>0</v>
      </c>
      <c r="J35" s="22">
        <v>0</v>
      </c>
      <c r="K35" s="6">
        <v>5773</v>
      </c>
      <c r="L35" s="17">
        <v>0.55000000000000004</v>
      </c>
      <c r="M35" s="6">
        <v>27536.864727272725</v>
      </c>
      <c r="N35" s="17">
        <v>0.7</v>
      </c>
      <c r="O35" s="6">
        <v>42542</v>
      </c>
      <c r="P35" s="6">
        <v>0</v>
      </c>
    </row>
    <row r="36" spans="2:16" ht="18" customHeight="1" x14ac:dyDescent="0.25">
      <c r="B36" t="s">
        <v>49</v>
      </c>
      <c r="C36" t="s">
        <v>81</v>
      </c>
      <c r="D36" t="s">
        <v>118</v>
      </c>
      <c r="E36" s="11" t="s">
        <v>106</v>
      </c>
      <c r="F36" s="20">
        <v>2.0062787115786334</v>
      </c>
      <c r="G36" s="29">
        <v>0</v>
      </c>
      <c r="H36" s="30">
        <v>3351</v>
      </c>
      <c r="I36" s="30">
        <v>0</v>
      </c>
      <c r="J36" s="31">
        <v>0</v>
      </c>
      <c r="K36" s="30">
        <v>3351</v>
      </c>
      <c r="L36" s="32">
        <v>0.65</v>
      </c>
      <c r="M36" s="30">
        <v>0</v>
      </c>
      <c r="N36" s="32" t="s">
        <v>107</v>
      </c>
      <c r="O36" s="30">
        <v>0</v>
      </c>
      <c r="P36" s="30">
        <v>10343.138403846153</v>
      </c>
    </row>
    <row r="37" spans="2:16" ht="18" customHeight="1" thickBot="1" x14ac:dyDescent="0.3">
      <c r="B37" s="35"/>
      <c r="C37" s="35"/>
      <c r="D37" s="35"/>
      <c r="E37" s="36"/>
      <c r="F37" s="37" t="s">
        <v>42</v>
      </c>
      <c r="G37" s="38">
        <v>5773</v>
      </c>
      <c r="H37" s="38">
        <v>3351</v>
      </c>
      <c r="I37" s="38">
        <v>0</v>
      </c>
      <c r="J37" s="39">
        <v>0</v>
      </c>
      <c r="K37" s="38">
        <v>9124</v>
      </c>
      <c r="L37" s="40"/>
      <c r="M37" s="38">
        <v>27536.864727272725</v>
      </c>
      <c r="N37" s="40"/>
      <c r="O37" s="38">
        <v>42542</v>
      </c>
      <c r="P37" s="38">
        <v>10343.138403846153</v>
      </c>
    </row>
    <row r="38" spans="2:16" ht="18" customHeight="1" thickTop="1" x14ac:dyDescent="0.25">
      <c r="B38" t="s">
        <v>120</v>
      </c>
      <c r="C38" t="s">
        <v>82</v>
      </c>
      <c r="D38" t="s">
        <v>121</v>
      </c>
      <c r="E38" s="11" t="s">
        <v>122</v>
      </c>
      <c r="F38" s="20">
        <v>3.597998179071062</v>
      </c>
      <c r="G38" s="6">
        <v>0</v>
      </c>
      <c r="H38" s="6">
        <v>186</v>
      </c>
      <c r="I38" s="6">
        <v>0</v>
      </c>
      <c r="J38" s="22">
        <v>0</v>
      </c>
      <c r="K38" s="6">
        <v>186</v>
      </c>
      <c r="L38" s="17">
        <v>0.85</v>
      </c>
      <c r="M38" s="6">
        <v>0</v>
      </c>
      <c r="N38" s="17" t="s">
        <v>107</v>
      </c>
      <c r="O38" s="6">
        <v>0</v>
      </c>
      <c r="P38" s="6">
        <v>787.32666036143246</v>
      </c>
    </row>
    <row r="39" spans="2:16" ht="18" customHeight="1" x14ac:dyDescent="0.25">
      <c r="B39" t="s">
        <v>120</v>
      </c>
      <c r="C39" t="s">
        <v>82</v>
      </c>
      <c r="D39" t="s">
        <v>186</v>
      </c>
      <c r="E39" s="11" t="s">
        <v>104</v>
      </c>
      <c r="F39" s="20">
        <v>2.8499315819644022</v>
      </c>
      <c r="G39" s="6">
        <v>960</v>
      </c>
      <c r="H39" s="6">
        <v>0</v>
      </c>
      <c r="I39" s="6">
        <v>19874.7846719099</v>
      </c>
      <c r="J39" s="22">
        <v>49691.215328090089</v>
      </c>
      <c r="K39" s="6">
        <v>70526</v>
      </c>
      <c r="L39" s="17">
        <v>0.6</v>
      </c>
      <c r="M39" s="6">
        <v>88424.601939689062</v>
      </c>
      <c r="N39" s="17">
        <v>0.46187433117289561</v>
      </c>
      <c r="O39" s="6">
        <v>191447.31796448037</v>
      </c>
      <c r="P39" s="6">
        <v>210893.75313822017</v>
      </c>
    </row>
    <row r="40" spans="2:16" ht="18" customHeight="1" x14ac:dyDescent="0.25">
      <c r="B40" t="s">
        <v>120</v>
      </c>
      <c r="C40" t="s">
        <v>82</v>
      </c>
      <c r="D40" t="s">
        <v>123</v>
      </c>
      <c r="E40" s="11" t="s">
        <v>104</v>
      </c>
      <c r="F40" s="20">
        <v>3.7873928395391441</v>
      </c>
      <c r="G40" s="6">
        <v>0</v>
      </c>
      <c r="H40" s="6">
        <v>246</v>
      </c>
      <c r="I40" s="6">
        <v>0</v>
      </c>
      <c r="J40" s="22">
        <v>0</v>
      </c>
      <c r="K40" s="6">
        <v>246</v>
      </c>
      <c r="L40" s="17">
        <v>0.6</v>
      </c>
      <c r="M40" s="6">
        <v>0</v>
      </c>
      <c r="N40" s="17" t="s">
        <v>107</v>
      </c>
      <c r="O40" s="6">
        <v>0</v>
      </c>
      <c r="P40" s="6">
        <v>1552.8310642110491</v>
      </c>
    </row>
    <row r="41" spans="2:16" ht="18" customHeight="1" x14ac:dyDescent="0.25">
      <c r="B41" t="s">
        <v>120</v>
      </c>
      <c r="C41" t="s">
        <v>82</v>
      </c>
      <c r="D41" t="s">
        <v>124</v>
      </c>
      <c r="E41" s="11" t="s">
        <v>104</v>
      </c>
      <c r="F41" s="20">
        <v>1.5704366969511803</v>
      </c>
      <c r="G41" s="6">
        <v>0</v>
      </c>
      <c r="H41" s="6">
        <v>197</v>
      </c>
      <c r="I41" s="6">
        <v>0</v>
      </c>
      <c r="J41" s="22">
        <v>0</v>
      </c>
      <c r="K41" s="6">
        <v>197</v>
      </c>
      <c r="L41" s="17">
        <v>0.6</v>
      </c>
      <c r="M41" s="6">
        <v>0</v>
      </c>
      <c r="N41" s="17" t="s">
        <v>107</v>
      </c>
      <c r="O41" s="6">
        <v>0</v>
      </c>
      <c r="P41" s="6">
        <v>515.62671549897095</v>
      </c>
    </row>
    <row r="42" spans="2:16" ht="18" customHeight="1" x14ac:dyDescent="0.25">
      <c r="B42" t="s">
        <v>120</v>
      </c>
      <c r="C42" t="s">
        <v>82</v>
      </c>
      <c r="D42" t="s">
        <v>124</v>
      </c>
      <c r="E42" s="11" t="s">
        <v>106</v>
      </c>
      <c r="F42" s="20">
        <v>4.0367665111873796</v>
      </c>
      <c r="G42" s="6">
        <v>0</v>
      </c>
      <c r="H42" s="6">
        <v>378</v>
      </c>
      <c r="I42" s="6">
        <v>0</v>
      </c>
      <c r="J42" s="22">
        <v>0</v>
      </c>
      <c r="K42" s="6">
        <v>378</v>
      </c>
      <c r="L42" s="17">
        <v>0.65</v>
      </c>
      <c r="M42" s="6">
        <v>0</v>
      </c>
      <c r="N42" s="17" t="s">
        <v>107</v>
      </c>
      <c r="O42" s="6">
        <v>0</v>
      </c>
      <c r="P42" s="6">
        <v>2347.5349865058915</v>
      </c>
    </row>
    <row r="43" spans="2:16" ht="18" customHeight="1" x14ac:dyDescent="0.25">
      <c r="B43" t="s">
        <v>120</v>
      </c>
      <c r="C43" t="s">
        <v>82</v>
      </c>
      <c r="D43" t="s">
        <v>125</v>
      </c>
      <c r="E43" s="11" t="s">
        <v>106</v>
      </c>
      <c r="F43" s="20">
        <v>3.2349999999999999</v>
      </c>
      <c r="G43" s="29">
        <v>0</v>
      </c>
      <c r="H43" s="30">
        <v>515</v>
      </c>
      <c r="I43" s="30">
        <v>0</v>
      </c>
      <c r="J43" s="31">
        <v>0</v>
      </c>
      <c r="K43" s="30">
        <v>515</v>
      </c>
      <c r="L43" s="32">
        <v>0.65</v>
      </c>
      <c r="M43" s="30">
        <v>0</v>
      </c>
      <c r="N43" s="32" t="s">
        <v>107</v>
      </c>
      <c r="O43" s="30">
        <v>0</v>
      </c>
      <c r="P43" s="30">
        <v>2563.1153846153843</v>
      </c>
    </row>
    <row r="44" spans="2:16" ht="18" customHeight="1" thickBot="1" x14ac:dyDescent="0.3">
      <c r="B44" s="35"/>
      <c r="C44" s="35"/>
      <c r="D44" s="35"/>
      <c r="E44" s="36"/>
      <c r="F44" s="37" t="s">
        <v>42</v>
      </c>
      <c r="G44" s="38">
        <v>960</v>
      </c>
      <c r="H44" s="38">
        <v>1522</v>
      </c>
      <c r="I44" s="38">
        <v>19874.7846719099</v>
      </c>
      <c r="J44" s="39">
        <v>49691.215328090089</v>
      </c>
      <c r="K44" s="38">
        <v>72048</v>
      </c>
      <c r="L44" s="40"/>
      <c r="M44" s="38">
        <v>88424.601939689062</v>
      </c>
      <c r="N44" s="40"/>
      <c r="O44" s="38">
        <v>191447.31796448037</v>
      </c>
      <c r="P44" s="38">
        <v>218660.18794941291</v>
      </c>
    </row>
    <row r="45" spans="2:16" ht="18" customHeight="1" thickTop="1" x14ac:dyDescent="0.25">
      <c r="B45" t="s">
        <v>51</v>
      </c>
      <c r="C45" t="s">
        <v>81</v>
      </c>
      <c r="D45" t="s">
        <v>126</v>
      </c>
      <c r="E45" s="11" t="s">
        <v>104</v>
      </c>
      <c r="F45" s="20">
        <v>3.5116666666666667</v>
      </c>
      <c r="G45" s="6">
        <v>70</v>
      </c>
      <c r="H45" s="6">
        <v>0</v>
      </c>
      <c r="I45" s="6">
        <v>0</v>
      </c>
      <c r="J45" s="22">
        <v>0</v>
      </c>
      <c r="K45" s="6">
        <v>70</v>
      </c>
      <c r="L45" s="17">
        <v>0.55000000000000004</v>
      </c>
      <c r="M45" s="6">
        <v>446.93939393939388</v>
      </c>
      <c r="N45" s="17">
        <v>0.8</v>
      </c>
      <c r="O45" s="6">
        <v>558.67424242424227</v>
      </c>
      <c r="P45" s="6">
        <v>0</v>
      </c>
    </row>
    <row r="46" spans="2:16" ht="18" customHeight="1" x14ac:dyDescent="0.25">
      <c r="B46" t="s">
        <v>51</v>
      </c>
      <c r="C46" t="s">
        <v>81</v>
      </c>
      <c r="D46" t="s">
        <v>127</v>
      </c>
      <c r="E46" s="11" t="s">
        <v>104</v>
      </c>
      <c r="F46" s="20">
        <v>3.0365466666666667</v>
      </c>
      <c r="G46" s="6">
        <v>180</v>
      </c>
      <c r="H46" s="6">
        <v>165</v>
      </c>
      <c r="I46" s="6">
        <v>0</v>
      </c>
      <c r="J46" s="22">
        <v>0</v>
      </c>
      <c r="K46" s="6">
        <v>345</v>
      </c>
      <c r="L46" s="17">
        <v>0.55000000000000004</v>
      </c>
      <c r="M46" s="6">
        <v>993.778909090909</v>
      </c>
      <c r="N46" s="17">
        <v>0.8</v>
      </c>
      <c r="O46" s="6">
        <v>1242.2236363636362</v>
      </c>
      <c r="P46" s="6">
        <v>910.96399999999994</v>
      </c>
    </row>
    <row r="47" spans="2:16" ht="18" customHeight="1" x14ac:dyDescent="0.25">
      <c r="B47" t="s">
        <v>51</v>
      </c>
      <c r="C47" t="s">
        <v>81</v>
      </c>
      <c r="D47" t="s">
        <v>187</v>
      </c>
      <c r="E47" s="11" t="s">
        <v>104</v>
      </c>
      <c r="F47" s="20">
        <v>3.2825016666666671</v>
      </c>
      <c r="G47" s="6">
        <v>1892.3446060393669</v>
      </c>
      <c r="H47" s="6">
        <v>0</v>
      </c>
      <c r="I47" s="6">
        <v>7051.4974592605577</v>
      </c>
      <c r="J47" s="22">
        <v>4000.1579347000761</v>
      </c>
      <c r="K47" s="6">
        <v>12944</v>
      </c>
      <c r="L47" s="17">
        <v>0.6</v>
      </c>
      <c r="M47" s="6">
        <v>48930.294142917417</v>
      </c>
      <c r="N47" s="17">
        <v>0.74</v>
      </c>
      <c r="O47" s="6">
        <v>67813</v>
      </c>
      <c r="P47" s="6">
        <v>21884.208479304823</v>
      </c>
    </row>
    <row r="48" spans="2:16" ht="18" customHeight="1" x14ac:dyDescent="0.25">
      <c r="B48" t="s">
        <v>51</v>
      </c>
      <c r="C48" t="s">
        <v>81</v>
      </c>
      <c r="D48" t="s">
        <v>111</v>
      </c>
      <c r="E48" s="11" t="s">
        <v>106</v>
      </c>
      <c r="F48" s="20">
        <v>2.4611666666666667</v>
      </c>
      <c r="G48" s="6">
        <v>0</v>
      </c>
      <c r="H48" s="6">
        <v>427</v>
      </c>
      <c r="I48" s="6">
        <v>0</v>
      </c>
      <c r="J48" s="22">
        <v>0</v>
      </c>
      <c r="K48" s="6">
        <v>427</v>
      </c>
      <c r="L48" s="17">
        <v>0.65</v>
      </c>
      <c r="M48" s="6">
        <v>0</v>
      </c>
      <c r="N48" s="17" t="s">
        <v>107</v>
      </c>
      <c r="O48" s="6">
        <v>0</v>
      </c>
      <c r="P48" s="6">
        <v>1616.7971794871794</v>
      </c>
    </row>
    <row r="49" spans="2:16" ht="18" customHeight="1" x14ac:dyDescent="0.25">
      <c r="B49" t="s">
        <v>51</v>
      </c>
      <c r="C49" t="s">
        <v>81</v>
      </c>
      <c r="D49" t="s">
        <v>188</v>
      </c>
      <c r="E49" s="11" t="s">
        <v>104</v>
      </c>
      <c r="F49" s="20">
        <v>2.9544446414011696</v>
      </c>
      <c r="G49" s="6">
        <v>0</v>
      </c>
      <c r="H49" s="6">
        <v>16353</v>
      </c>
      <c r="I49" s="6">
        <v>0</v>
      </c>
      <c r="J49" s="22">
        <v>0</v>
      </c>
      <c r="K49" s="6">
        <v>16353</v>
      </c>
      <c r="L49" s="17">
        <v>0.6</v>
      </c>
      <c r="M49" s="6">
        <v>0</v>
      </c>
      <c r="N49" s="17" t="s">
        <v>107</v>
      </c>
      <c r="O49" s="6">
        <v>0</v>
      </c>
      <c r="P49" s="6">
        <v>70377</v>
      </c>
    </row>
    <row r="50" spans="2:16" ht="18" customHeight="1" x14ac:dyDescent="0.25">
      <c r="B50" t="s">
        <v>51</v>
      </c>
      <c r="C50" t="s">
        <v>81</v>
      </c>
      <c r="D50" t="s">
        <v>188</v>
      </c>
      <c r="E50" s="11" t="s">
        <v>106</v>
      </c>
      <c r="F50" s="20">
        <v>2.5824625909404704</v>
      </c>
      <c r="G50" s="29">
        <v>0</v>
      </c>
      <c r="H50" s="30">
        <v>6277</v>
      </c>
      <c r="I50" s="30">
        <v>0</v>
      </c>
      <c r="J50" s="31">
        <v>0</v>
      </c>
      <c r="K50" s="30">
        <v>6277</v>
      </c>
      <c r="L50" s="32">
        <v>0.7</v>
      </c>
      <c r="M50" s="30">
        <v>0</v>
      </c>
      <c r="N50" s="32" t="s">
        <v>107</v>
      </c>
      <c r="O50" s="30">
        <v>0</v>
      </c>
      <c r="P50" s="30">
        <v>20239</v>
      </c>
    </row>
    <row r="51" spans="2:16" ht="18" customHeight="1" thickBot="1" x14ac:dyDescent="0.3">
      <c r="B51" s="35"/>
      <c r="C51" s="35"/>
      <c r="D51" s="35"/>
      <c r="E51" s="36"/>
      <c r="F51" s="37" t="s">
        <v>42</v>
      </c>
      <c r="G51" s="38">
        <v>2142.3446060393671</v>
      </c>
      <c r="H51" s="38">
        <v>23222</v>
      </c>
      <c r="I51" s="38">
        <v>7051.4974592605577</v>
      </c>
      <c r="J51" s="39">
        <v>4000.1579347000761</v>
      </c>
      <c r="K51" s="38">
        <v>36416</v>
      </c>
      <c r="L51" s="40"/>
      <c r="M51" s="38">
        <v>50371.012445947723</v>
      </c>
      <c r="N51" s="40"/>
      <c r="O51" s="38">
        <v>69613.897878787873</v>
      </c>
      <c r="P51" s="38">
        <v>115027.969658792</v>
      </c>
    </row>
    <row r="52" spans="2:16" ht="18" customHeight="1" thickTop="1" x14ac:dyDescent="0.25">
      <c r="B52" t="s">
        <v>52</v>
      </c>
      <c r="C52" t="s">
        <v>80</v>
      </c>
      <c r="D52" t="s">
        <v>189</v>
      </c>
      <c r="E52" s="11" t="s">
        <v>104</v>
      </c>
      <c r="F52" s="20">
        <v>1.976666666666667</v>
      </c>
      <c r="G52" s="6">
        <v>1615</v>
      </c>
      <c r="H52" s="6">
        <v>0</v>
      </c>
      <c r="I52" s="6">
        <v>0</v>
      </c>
      <c r="J52" s="22">
        <v>0</v>
      </c>
      <c r="K52" s="6">
        <v>1615</v>
      </c>
      <c r="L52" s="17">
        <v>0.55000000000000004</v>
      </c>
      <c r="M52" s="6">
        <v>5742.596034725344</v>
      </c>
      <c r="N52" s="17" t="s">
        <v>107</v>
      </c>
      <c r="O52" s="6">
        <v>25938.417784416964</v>
      </c>
      <c r="P52" s="6">
        <v>0</v>
      </c>
    </row>
    <row r="53" spans="2:16" ht="18" customHeight="1" x14ac:dyDescent="0.25">
      <c r="B53" t="s">
        <v>52</v>
      </c>
      <c r="C53" t="s">
        <v>80</v>
      </c>
      <c r="D53" t="s">
        <v>128</v>
      </c>
      <c r="E53" s="11" t="s">
        <v>106</v>
      </c>
      <c r="F53" s="20">
        <v>1.976666666666667</v>
      </c>
      <c r="G53" s="6">
        <v>0</v>
      </c>
      <c r="H53" s="6">
        <v>157</v>
      </c>
      <c r="I53" s="6">
        <v>0</v>
      </c>
      <c r="J53" s="22">
        <v>0</v>
      </c>
      <c r="K53" s="6">
        <v>157</v>
      </c>
      <c r="L53" s="17">
        <v>0.55000000000000004</v>
      </c>
      <c r="M53" s="6">
        <v>0</v>
      </c>
      <c r="N53" s="17" t="s">
        <v>107</v>
      </c>
      <c r="O53" s="6">
        <v>0</v>
      </c>
      <c r="P53" s="6">
        <v>564.39224242424245</v>
      </c>
    </row>
    <row r="54" spans="2:16" ht="18" customHeight="1" x14ac:dyDescent="0.25">
      <c r="B54" t="s">
        <v>52</v>
      </c>
      <c r="C54" t="s">
        <v>80</v>
      </c>
      <c r="D54" t="s">
        <v>190</v>
      </c>
      <c r="E54" s="11" t="s">
        <v>104</v>
      </c>
      <c r="F54" s="20">
        <v>2.9233333333333333</v>
      </c>
      <c r="G54" s="6">
        <v>116</v>
      </c>
      <c r="H54" s="6">
        <v>0</v>
      </c>
      <c r="I54" s="6">
        <v>0</v>
      </c>
      <c r="J54" s="22">
        <v>0</v>
      </c>
      <c r="K54" s="6">
        <v>116</v>
      </c>
      <c r="L54" s="17">
        <v>0.58799999999999997</v>
      </c>
      <c r="M54" s="6">
        <v>207.99122537850516</v>
      </c>
      <c r="N54" s="17" t="s">
        <v>107</v>
      </c>
      <c r="O54" s="6">
        <v>482.11693184956948</v>
      </c>
      <c r="P54" s="6">
        <v>0</v>
      </c>
    </row>
    <row r="55" spans="2:16" ht="18" customHeight="1" x14ac:dyDescent="0.25">
      <c r="B55" t="s">
        <v>52</v>
      </c>
      <c r="C55" t="s">
        <v>80</v>
      </c>
      <c r="D55" t="s">
        <v>129</v>
      </c>
      <c r="E55" s="11" t="s">
        <v>106</v>
      </c>
      <c r="F55" s="20">
        <v>2.9233333333333333</v>
      </c>
      <c r="G55" s="6">
        <v>0</v>
      </c>
      <c r="H55" s="6">
        <v>13</v>
      </c>
      <c r="I55" s="6">
        <v>0</v>
      </c>
      <c r="J55" s="22">
        <v>0</v>
      </c>
      <c r="K55" s="6">
        <v>13</v>
      </c>
      <c r="L55" s="17">
        <v>0.58799999999999997</v>
      </c>
      <c r="M55" s="6">
        <v>0</v>
      </c>
      <c r="N55" s="17" t="s">
        <v>107</v>
      </c>
      <c r="O55" s="6">
        <v>0</v>
      </c>
      <c r="P55" s="6">
        <v>63.388605442176875</v>
      </c>
    </row>
    <row r="56" spans="2:16" ht="18" customHeight="1" x14ac:dyDescent="0.25">
      <c r="B56" t="s">
        <v>52</v>
      </c>
      <c r="C56" t="s">
        <v>80</v>
      </c>
      <c r="D56" t="s">
        <v>191</v>
      </c>
      <c r="E56" s="11" t="s">
        <v>104</v>
      </c>
      <c r="F56" s="20">
        <v>1.7000000000000002</v>
      </c>
      <c r="G56" s="6">
        <v>48</v>
      </c>
      <c r="H56" s="6">
        <v>0</v>
      </c>
      <c r="I56" s="6">
        <v>0</v>
      </c>
      <c r="J56" s="22">
        <v>0</v>
      </c>
      <c r="K56" s="6">
        <v>48</v>
      </c>
      <c r="L56" s="17">
        <v>0.45</v>
      </c>
      <c r="M56" s="6">
        <v>182.31555555555556</v>
      </c>
      <c r="N56" s="17" t="s">
        <v>107</v>
      </c>
      <c r="O56" s="6">
        <v>1488.4301029639782</v>
      </c>
      <c r="P56" s="6">
        <v>0</v>
      </c>
    </row>
    <row r="57" spans="2:16" ht="18" customHeight="1" x14ac:dyDescent="0.25">
      <c r="B57" t="s">
        <v>52</v>
      </c>
      <c r="C57" t="s">
        <v>80</v>
      </c>
      <c r="D57" t="s">
        <v>130</v>
      </c>
      <c r="E57" s="11" t="s">
        <v>106</v>
      </c>
      <c r="F57" s="20">
        <v>1.7000000000000002</v>
      </c>
      <c r="G57" s="6">
        <v>0</v>
      </c>
      <c r="H57" s="6">
        <v>13</v>
      </c>
      <c r="I57" s="6">
        <v>0</v>
      </c>
      <c r="J57" s="22">
        <v>0</v>
      </c>
      <c r="K57" s="6">
        <v>13</v>
      </c>
      <c r="L57" s="17">
        <v>0.45</v>
      </c>
      <c r="M57" s="6">
        <v>0</v>
      </c>
      <c r="N57" s="17" t="s">
        <v>107</v>
      </c>
      <c r="O57" s="6">
        <v>0</v>
      </c>
      <c r="P57" s="6">
        <v>50.168888888888887</v>
      </c>
    </row>
    <row r="58" spans="2:16" ht="18" customHeight="1" x14ac:dyDescent="0.25">
      <c r="B58" t="s">
        <v>52</v>
      </c>
      <c r="C58" t="s">
        <v>80</v>
      </c>
      <c r="D58" t="s">
        <v>131</v>
      </c>
      <c r="E58" s="11" t="s">
        <v>104</v>
      </c>
      <c r="F58" s="20">
        <v>2.7449999999999997</v>
      </c>
      <c r="G58" s="6">
        <v>0</v>
      </c>
      <c r="H58" s="6">
        <v>173</v>
      </c>
      <c r="I58" s="6">
        <v>0</v>
      </c>
      <c r="J58" s="22">
        <v>0</v>
      </c>
      <c r="K58" s="6">
        <v>173</v>
      </c>
      <c r="L58" s="17">
        <v>0.55000000000000004</v>
      </c>
      <c r="M58" s="6">
        <v>0</v>
      </c>
      <c r="N58" s="17" t="s">
        <v>107</v>
      </c>
      <c r="O58" s="6">
        <v>0</v>
      </c>
      <c r="P58" s="6">
        <v>863.42727272727257</v>
      </c>
    </row>
    <row r="59" spans="2:16" ht="18" customHeight="1" x14ac:dyDescent="0.25">
      <c r="B59" t="s">
        <v>52</v>
      </c>
      <c r="C59" t="s">
        <v>80</v>
      </c>
      <c r="D59" t="s">
        <v>131</v>
      </c>
      <c r="E59" s="11" t="s">
        <v>106</v>
      </c>
      <c r="F59" s="20">
        <v>3.0290766666666671</v>
      </c>
      <c r="G59" s="6">
        <v>0</v>
      </c>
      <c r="H59" s="6">
        <v>449</v>
      </c>
      <c r="I59" s="6">
        <v>0</v>
      </c>
      <c r="J59" s="22">
        <v>0</v>
      </c>
      <c r="K59" s="6">
        <v>449</v>
      </c>
      <c r="L59" s="17">
        <v>0.65</v>
      </c>
      <c r="M59" s="6">
        <v>0</v>
      </c>
      <c r="N59" s="17" t="s">
        <v>107</v>
      </c>
      <c r="O59" s="6">
        <v>0</v>
      </c>
      <c r="P59" s="6">
        <v>2092.3929589743593</v>
      </c>
    </row>
    <row r="60" spans="2:16" ht="18" customHeight="1" x14ac:dyDescent="0.25">
      <c r="B60" t="s">
        <v>52</v>
      </c>
      <c r="C60" t="s">
        <v>82</v>
      </c>
      <c r="D60" t="s">
        <v>132</v>
      </c>
      <c r="E60" s="11" t="s">
        <v>104</v>
      </c>
      <c r="F60" s="20">
        <v>2.11781</v>
      </c>
      <c r="G60" s="29">
        <v>79.8</v>
      </c>
      <c r="H60" s="30">
        <v>179.55</v>
      </c>
      <c r="I60" s="30">
        <v>83.79</v>
      </c>
      <c r="J60" s="31">
        <v>55.86</v>
      </c>
      <c r="K60" s="30">
        <v>399</v>
      </c>
      <c r="L60" s="32">
        <v>0.55000000000000004</v>
      </c>
      <c r="M60" s="30">
        <v>629.91370527272716</v>
      </c>
      <c r="N60" s="32">
        <v>0.65</v>
      </c>
      <c r="O60" s="30">
        <v>969.09800811188791</v>
      </c>
      <c r="P60" s="30">
        <v>906.46118563636355</v>
      </c>
    </row>
    <row r="61" spans="2:16" ht="18" customHeight="1" thickBot="1" x14ac:dyDescent="0.3">
      <c r="B61" s="35"/>
      <c r="C61" s="35"/>
      <c r="D61" s="35"/>
      <c r="E61" s="36"/>
      <c r="F61" s="37" t="s">
        <v>42</v>
      </c>
      <c r="G61" s="38">
        <v>1858.8</v>
      </c>
      <c r="H61" s="38">
        <v>984.55</v>
      </c>
      <c r="I61" s="38">
        <v>83.79</v>
      </c>
      <c r="J61" s="39">
        <v>55.86</v>
      </c>
      <c r="K61" s="38">
        <v>2983</v>
      </c>
      <c r="L61" s="40"/>
      <c r="M61" s="38">
        <v>6762.8165209321323</v>
      </c>
      <c r="N61" s="40"/>
      <c r="O61" s="38">
        <v>28878.062827342401</v>
      </c>
      <c r="P61" s="38">
        <v>4540.2311540933042</v>
      </c>
    </row>
    <row r="62" spans="2:16" ht="18" customHeight="1" thickTop="1" x14ac:dyDescent="0.25">
      <c r="B62" t="s">
        <v>53</v>
      </c>
      <c r="C62" t="s">
        <v>81</v>
      </c>
      <c r="D62" t="s">
        <v>133</v>
      </c>
      <c r="E62" s="11" t="s">
        <v>104</v>
      </c>
      <c r="F62" s="20">
        <v>2.2550008333333333</v>
      </c>
      <c r="G62" s="6">
        <v>1918</v>
      </c>
      <c r="H62" s="6">
        <v>0</v>
      </c>
      <c r="I62" s="6">
        <v>0</v>
      </c>
      <c r="J62" s="22">
        <v>0</v>
      </c>
      <c r="K62" s="6">
        <v>1918</v>
      </c>
      <c r="L62" s="17">
        <v>0.55000000000000004</v>
      </c>
      <c r="M62" s="6">
        <v>7863.8029060606059</v>
      </c>
      <c r="N62" s="17">
        <v>0.6</v>
      </c>
      <c r="O62" s="6">
        <v>13106.338176767676</v>
      </c>
      <c r="P62" s="6">
        <v>0</v>
      </c>
    </row>
    <row r="63" spans="2:16" ht="18" customHeight="1" x14ac:dyDescent="0.25">
      <c r="B63" t="s">
        <v>53</v>
      </c>
      <c r="C63" t="s">
        <v>81</v>
      </c>
      <c r="D63" t="s">
        <v>134</v>
      </c>
      <c r="E63" s="11" t="s">
        <v>104</v>
      </c>
      <c r="F63" s="20">
        <v>2.5958333333333332</v>
      </c>
      <c r="G63" s="6">
        <v>8</v>
      </c>
      <c r="H63" s="6">
        <v>0</v>
      </c>
      <c r="I63" s="6">
        <v>0</v>
      </c>
      <c r="J63" s="22">
        <v>0</v>
      </c>
      <c r="K63" s="6">
        <v>8</v>
      </c>
      <c r="L63" s="17">
        <v>0.55000000000000004</v>
      </c>
      <c r="M63" s="6">
        <v>37.757575757575751</v>
      </c>
      <c r="N63" s="17">
        <v>0.6</v>
      </c>
      <c r="O63" s="6">
        <v>62.92929292929292</v>
      </c>
      <c r="P63" s="6">
        <v>0</v>
      </c>
    </row>
    <row r="64" spans="2:16" ht="18" customHeight="1" x14ac:dyDescent="0.25">
      <c r="B64" t="s">
        <v>53</v>
      </c>
      <c r="C64" t="s">
        <v>81</v>
      </c>
      <c r="D64" t="s">
        <v>192</v>
      </c>
      <c r="E64" s="11" t="s">
        <v>104</v>
      </c>
      <c r="F64" s="20">
        <v>2.900983333333333</v>
      </c>
      <c r="G64" s="6">
        <v>374</v>
      </c>
      <c r="H64" s="6">
        <v>0</v>
      </c>
      <c r="I64" s="6">
        <v>0</v>
      </c>
      <c r="J64" s="22">
        <v>0</v>
      </c>
      <c r="K64" s="6">
        <v>374</v>
      </c>
      <c r="L64" s="17">
        <v>0.55000000000000004</v>
      </c>
      <c r="M64" s="6">
        <v>1972.6686666666665</v>
      </c>
      <c r="N64" s="17">
        <v>0.6</v>
      </c>
      <c r="O64" s="6">
        <v>6867.9810108908123</v>
      </c>
      <c r="P64" s="6">
        <v>0</v>
      </c>
    </row>
    <row r="65" spans="2:16" ht="18" customHeight="1" x14ac:dyDescent="0.25">
      <c r="B65" t="s">
        <v>53</v>
      </c>
      <c r="C65" t="s">
        <v>81</v>
      </c>
      <c r="D65" t="s">
        <v>192</v>
      </c>
      <c r="E65" s="11" t="s">
        <v>106</v>
      </c>
      <c r="F65" s="20">
        <v>2.9275000000000002</v>
      </c>
      <c r="G65" s="29">
        <v>39</v>
      </c>
      <c r="H65" s="30">
        <v>0</v>
      </c>
      <c r="I65" s="30">
        <v>0</v>
      </c>
      <c r="J65" s="31">
        <v>0</v>
      </c>
      <c r="K65" s="30">
        <v>39</v>
      </c>
      <c r="L65" s="32">
        <v>0.65</v>
      </c>
      <c r="M65" s="30">
        <v>175.65</v>
      </c>
      <c r="N65" s="32">
        <v>0.6</v>
      </c>
      <c r="O65" s="30">
        <v>612.01898910918737</v>
      </c>
      <c r="P65" s="30">
        <v>0</v>
      </c>
    </row>
    <row r="66" spans="2:16" ht="18" customHeight="1" thickBot="1" x14ac:dyDescent="0.3">
      <c r="B66" s="35"/>
      <c r="C66" s="35"/>
      <c r="D66" s="35"/>
      <c r="E66" s="36"/>
      <c r="F66" s="37" t="s">
        <v>42</v>
      </c>
      <c r="G66" s="38">
        <v>2339</v>
      </c>
      <c r="H66" s="38">
        <v>0</v>
      </c>
      <c r="I66" s="38">
        <v>0</v>
      </c>
      <c r="J66" s="39">
        <v>0</v>
      </c>
      <c r="K66" s="38">
        <v>2339</v>
      </c>
      <c r="L66" s="40"/>
      <c r="M66" s="38">
        <v>10049.879148484848</v>
      </c>
      <c r="N66" s="40"/>
      <c r="O66" s="38">
        <v>20649.26746969697</v>
      </c>
      <c r="P66" s="38">
        <v>0</v>
      </c>
    </row>
    <row r="67" spans="2:16" ht="18" customHeight="1" thickTop="1" x14ac:dyDescent="0.25">
      <c r="B67" t="s">
        <v>54</v>
      </c>
      <c r="C67" t="s">
        <v>79</v>
      </c>
      <c r="D67" t="s">
        <v>135</v>
      </c>
      <c r="E67" s="11" t="s">
        <v>106</v>
      </c>
      <c r="F67" s="20">
        <v>1.4486333333333334</v>
      </c>
      <c r="G67" s="29">
        <v>0</v>
      </c>
      <c r="H67" s="30">
        <v>2469</v>
      </c>
      <c r="I67" s="30">
        <v>0</v>
      </c>
      <c r="J67" s="31">
        <v>0</v>
      </c>
      <c r="K67" s="30">
        <v>2469</v>
      </c>
      <c r="L67" s="32">
        <v>0.65</v>
      </c>
      <c r="M67" s="30">
        <v>0</v>
      </c>
      <c r="N67" s="32" t="s">
        <v>107</v>
      </c>
      <c r="O67" s="30">
        <v>0</v>
      </c>
      <c r="P67" s="30">
        <v>5502.5780000000004</v>
      </c>
    </row>
    <row r="68" spans="2:16" ht="18" customHeight="1" thickBot="1" x14ac:dyDescent="0.3">
      <c r="B68" s="35"/>
      <c r="C68" s="35"/>
      <c r="D68" s="35"/>
      <c r="E68" s="36"/>
      <c r="F68" s="37" t="s">
        <v>42</v>
      </c>
      <c r="G68" s="38">
        <v>0</v>
      </c>
      <c r="H68" s="38">
        <v>2469</v>
      </c>
      <c r="I68" s="38">
        <v>0</v>
      </c>
      <c r="J68" s="39">
        <v>0</v>
      </c>
      <c r="K68" s="38">
        <v>2469</v>
      </c>
      <c r="L68" s="40"/>
      <c r="M68" s="38">
        <v>0</v>
      </c>
      <c r="N68" s="40"/>
      <c r="O68" s="38">
        <v>0</v>
      </c>
      <c r="P68" s="38">
        <v>5502.5780000000004</v>
      </c>
    </row>
    <row r="69" spans="2:16" ht="18" customHeight="1" thickTop="1" x14ac:dyDescent="0.25">
      <c r="B69" t="s">
        <v>55</v>
      </c>
      <c r="C69" t="s">
        <v>80</v>
      </c>
      <c r="D69" t="s">
        <v>136</v>
      </c>
      <c r="E69" s="11" t="s">
        <v>104</v>
      </c>
      <c r="F69" s="20">
        <v>2.5683333333333334</v>
      </c>
      <c r="G69" s="6">
        <v>0</v>
      </c>
      <c r="H69" s="6">
        <v>2003</v>
      </c>
      <c r="I69" s="6">
        <v>0</v>
      </c>
      <c r="J69" s="22">
        <v>0</v>
      </c>
      <c r="K69" s="6">
        <v>2003</v>
      </c>
      <c r="L69" s="17">
        <v>0.55000000000000004</v>
      </c>
      <c r="M69" s="6">
        <v>0</v>
      </c>
      <c r="N69" s="17" t="s">
        <v>107</v>
      </c>
      <c r="O69" s="6">
        <v>0</v>
      </c>
      <c r="P69" s="6">
        <v>9353.4030303030304</v>
      </c>
    </row>
    <row r="70" spans="2:16" ht="18" customHeight="1" x14ac:dyDescent="0.25">
      <c r="B70" t="s">
        <v>55</v>
      </c>
      <c r="C70" t="s">
        <v>80</v>
      </c>
      <c r="D70" t="s">
        <v>136</v>
      </c>
      <c r="E70" s="11" t="s">
        <v>106</v>
      </c>
      <c r="F70" s="20">
        <v>2.812372368039354</v>
      </c>
      <c r="G70" s="6">
        <v>0</v>
      </c>
      <c r="H70" s="6">
        <v>3878</v>
      </c>
      <c r="I70" s="6">
        <v>0</v>
      </c>
      <c r="J70" s="22">
        <v>0</v>
      </c>
      <c r="K70" s="6">
        <v>3878</v>
      </c>
      <c r="L70" s="17">
        <v>0.65</v>
      </c>
      <c r="M70" s="6">
        <v>0</v>
      </c>
      <c r="N70" s="17" t="s">
        <v>107</v>
      </c>
      <c r="O70" s="6">
        <v>0</v>
      </c>
      <c r="P70" s="6">
        <v>16779.04622039479</v>
      </c>
    </row>
    <row r="71" spans="2:16" ht="18" customHeight="1" x14ac:dyDescent="0.25">
      <c r="B71" t="s">
        <v>55</v>
      </c>
      <c r="C71" t="s">
        <v>80</v>
      </c>
      <c r="D71" t="s">
        <v>137</v>
      </c>
      <c r="E71" s="11" t="s">
        <v>122</v>
      </c>
      <c r="F71" s="20">
        <v>2.48</v>
      </c>
      <c r="G71" s="6">
        <v>0</v>
      </c>
      <c r="H71" s="6">
        <v>315</v>
      </c>
      <c r="I71" s="6">
        <v>0</v>
      </c>
      <c r="J71" s="22">
        <v>0</v>
      </c>
      <c r="K71" s="6">
        <v>315</v>
      </c>
      <c r="L71" s="17">
        <v>0.55000000000000004</v>
      </c>
      <c r="M71" s="6">
        <v>0</v>
      </c>
      <c r="N71" s="17" t="s">
        <v>107</v>
      </c>
      <c r="O71" s="6">
        <v>0</v>
      </c>
      <c r="P71" s="6">
        <v>1418.2849454545451</v>
      </c>
    </row>
    <row r="72" spans="2:16" ht="18" customHeight="1" x14ac:dyDescent="0.25">
      <c r="B72" t="s">
        <v>55</v>
      </c>
      <c r="C72" t="s">
        <v>80</v>
      </c>
      <c r="D72" t="s">
        <v>137</v>
      </c>
      <c r="E72" s="11" t="s">
        <v>104</v>
      </c>
      <c r="F72" s="20">
        <v>2.37</v>
      </c>
      <c r="G72" s="6">
        <v>1590</v>
      </c>
      <c r="H72" s="6">
        <v>0</v>
      </c>
      <c r="I72" s="6">
        <v>0</v>
      </c>
      <c r="J72" s="22">
        <v>0</v>
      </c>
      <c r="K72" s="6">
        <v>1590</v>
      </c>
      <c r="L72" s="17">
        <v>0.55000000000000004</v>
      </c>
      <c r="M72" s="6">
        <v>6849.6576545454545</v>
      </c>
      <c r="N72" s="17">
        <v>0.7</v>
      </c>
      <c r="O72" s="6">
        <v>9785.2252207792208</v>
      </c>
      <c r="P72" s="6">
        <v>0</v>
      </c>
    </row>
    <row r="73" spans="2:16" ht="18" customHeight="1" x14ac:dyDescent="0.25">
      <c r="B73" t="s">
        <v>55</v>
      </c>
      <c r="C73" t="s">
        <v>80</v>
      </c>
      <c r="D73" t="s">
        <v>137</v>
      </c>
      <c r="E73" s="11" t="s">
        <v>106</v>
      </c>
      <c r="F73" s="20">
        <v>2.65</v>
      </c>
      <c r="G73" s="6">
        <v>0</v>
      </c>
      <c r="H73" s="6">
        <v>209</v>
      </c>
      <c r="I73" s="6">
        <v>0</v>
      </c>
      <c r="J73" s="22">
        <v>0</v>
      </c>
      <c r="K73" s="6">
        <v>209</v>
      </c>
      <c r="L73" s="17">
        <v>0.55000000000000004</v>
      </c>
      <c r="M73" s="6">
        <v>0</v>
      </c>
      <c r="N73" s="17" t="s">
        <v>107</v>
      </c>
      <c r="O73" s="6">
        <v>0</v>
      </c>
      <c r="P73" s="6">
        <v>1006.9469999999998</v>
      </c>
    </row>
    <row r="74" spans="2:16" ht="18" customHeight="1" x14ac:dyDescent="0.25">
      <c r="B74" t="s">
        <v>55</v>
      </c>
      <c r="C74" t="s">
        <v>80</v>
      </c>
      <c r="D74" t="s">
        <v>131</v>
      </c>
      <c r="E74" s="11" t="s">
        <v>104</v>
      </c>
      <c r="F74" s="20">
        <v>4.5100064708985439</v>
      </c>
      <c r="G74" s="6">
        <v>0</v>
      </c>
      <c r="H74" s="6">
        <v>1487</v>
      </c>
      <c r="I74" s="6">
        <v>0</v>
      </c>
      <c r="J74" s="22">
        <v>0</v>
      </c>
      <c r="K74" s="6">
        <v>1487</v>
      </c>
      <c r="L74" s="17">
        <v>0.55000000000000004</v>
      </c>
      <c r="M74" s="6">
        <v>0</v>
      </c>
      <c r="N74" s="17" t="s">
        <v>107</v>
      </c>
      <c r="O74" s="6">
        <v>0</v>
      </c>
      <c r="P74" s="6">
        <v>12193.417494956608</v>
      </c>
    </row>
    <row r="75" spans="2:16" ht="18" customHeight="1" x14ac:dyDescent="0.25">
      <c r="B75" t="s">
        <v>55</v>
      </c>
      <c r="C75" t="s">
        <v>80</v>
      </c>
      <c r="D75" t="s">
        <v>131</v>
      </c>
      <c r="E75" s="11" t="s">
        <v>106</v>
      </c>
      <c r="F75" s="20">
        <v>4.2833035301064548</v>
      </c>
      <c r="G75" s="6">
        <v>0</v>
      </c>
      <c r="H75" s="6">
        <v>1069</v>
      </c>
      <c r="I75" s="6">
        <v>0</v>
      </c>
      <c r="J75" s="22">
        <v>0</v>
      </c>
      <c r="K75" s="6">
        <v>1069</v>
      </c>
      <c r="L75" s="17">
        <v>0.65</v>
      </c>
      <c r="M75" s="6">
        <v>0</v>
      </c>
      <c r="N75" s="17" t="s">
        <v>107</v>
      </c>
      <c r="O75" s="6">
        <v>0</v>
      </c>
      <c r="P75" s="6">
        <v>7044.3868825904619</v>
      </c>
    </row>
    <row r="76" spans="2:16" ht="18" customHeight="1" x14ac:dyDescent="0.25">
      <c r="B76" t="s">
        <v>55</v>
      </c>
      <c r="C76" t="s">
        <v>80</v>
      </c>
      <c r="D76" t="s">
        <v>193</v>
      </c>
      <c r="E76" s="11" t="s">
        <v>104</v>
      </c>
      <c r="F76" s="20">
        <v>3.0458333333333321</v>
      </c>
      <c r="G76" s="6">
        <v>0</v>
      </c>
      <c r="H76" s="6">
        <v>58</v>
      </c>
      <c r="I76" s="6">
        <v>0</v>
      </c>
      <c r="J76" s="22">
        <v>0</v>
      </c>
      <c r="K76" s="6">
        <v>58</v>
      </c>
      <c r="L76" s="17" t="s">
        <v>107</v>
      </c>
      <c r="M76" s="6">
        <v>0</v>
      </c>
      <c r="N76" s="17" t="s">
        <v>107</v>
      </c>
      <c r="O76" s="6">
        <v>0</v>
      </c>
      <c r="P76" s="6">
        <v>321.2145247727272</v>
      </c>
    </row>
    <row r="77" spans="2:16" ht="18" customHeight="1" x14ac:dyDescent="0.25">
      <c r="B77" t="s">
        <v>55</v>
      </c>
      <c r="C77" t="s">
        <v>80</v>
      </c>
      <c r="D77" t="s">
        <v>193</v>
      </c>
      <c r="E77" s="11" t="s">
        <v>106</v>
      </c>
      <c r="F77" s="20">
        <v>3.0458333333333321</v>
      </c>
      <c r="G77" s="6">
        <v>0</v>
      </c>
      <c r="H77" s="6">
        <v>566</v>
      </c>
      <c r="I77" s="6">
        <v>0</v>
      </c>
      <c r="J77" s="22">
        <v>0</v>
      </c>
      <c r="K77" s="6">
        <v>566</v>
      </c>
      <c r="L77" s="17" t="s">
        <v>107</v>
      </c>
      <c r="M77" s="6">
        <v>0</v>
      </c>
      <c r="N77" s="17" t="s">
        <v>107</v>
      </c>
      <c r="O77" s="6">
        <v>0</v>
      </c>
      <c r="P77" s="6">
        <v>3132.7050964393902</v>
      </c>
    </row>
    <row r="78" spans="2:16" ht="18" customHeight="1" x14ac:dyDescent="0.25">
      <c r="B78" t="s">
        <v>55</v>
      </c>
      <c r="C78" t="s">
        <v>82</v>
      </c>
      <c r="D78" t="s">
        <v>138</v>
      </c>
      <c r="E78" s="11" t="s">
        <v>106</v>
      </c>
      <c r="F78" s="20">
        <v>1.9208465015579013</v>
      </c>
      <c r="G78" s="29">
        <v>0</v>
      </c>
      <c r="H78" s="30">
        <v>5427</v>
      </c>
      <c r="I78" s="30">
        <v>0</v>
      </c>
      <c r="J78" s="31">
        <v>0</v>
      </c>
      <c r="K78" s="30">
        <v>5427</v>
      </c>
      <c r="L78" s="32">
        <v>0.65</v>
      </c>
      <c r="M78" s="30">
        <v>0</v>
      </c>
      <c r="N78" s="32" t="s">
        <v>107</v>
      </c>
      <c r="O78" s="30">
        <v>0</v>
      </c>
      <c r="P78" s="30">
        <v>16037.590713776508</v>
      </c>
    </row>
    <row r="79" spans="2:16" ht="18" customHeight="1" thickBot="1" x14ac:dyDescent="0.3">
      <c r="B79" s="35"/>
      <c r="C79" s="35"/>
      <c r="D79" s="35"/>
      <c r="E79" s="36"/>
      <c r="F79" s="37" t="s">
        <v>42</v>
      </c>
      <c r="G79" s="38">
        <v>1590</v>
      </c>
      <c r="H79" s="38">
        <v>15012</v>
      </c>
      <c r="I79" s="38">
        <v>0</v>
      </c>
      <c r="J79" s="39">
        <v>0</v>
      </c>
      <c r="K79" s="38">
        <v>16602</v>
      </c>
      <c r="L79" s="40"/>
      <c r="M79" s="38">
        <v>6849.6576545454545</v>
      </c>
      <c r="N79" s="40"/>
      <c r="O79" s="38">
        <v>9785.2252207792208</v>
      </c>
      <c r="P79" s="38">
        <v>67286.995908688055</v>
      </c>
    </row>
    <row r="80" spans="2:16" ht="18" customHeight="1" thickTop="1" x14ac:dyDescent="0.25">
      <c r="B80" t="s">
        <v>56</v>
      </c>
      <c r="C80" t="s">
        <v>81</v>
      </c>
      <c r="D80" t="s">
        <v>118</v>
      </c>
      <c r="E80" s="11" t="s">
        <v>106</v>
      </c>
      <c r="F80" s="20">
        <v>2.908114932246491</v>
      </c>
      <c r="G80" s="6">
        <v>0</v>
      </c>
      <c r="H80" s="6">
        <v>183</v>
      </c>
      <c r="I80" s="6">
        <v>0</v>
      </c>
      <c r="J80" s="22">
        <v>0</v>
      </c>
      <c r="K80" s="6">
        <v>183</v>
      </c>
      <c r="L80" s="17">
        <v>0.7</v>
      </c>
      <c r="M80" s="6">
        <v>0</v>
      </c>
      <c r="N80" s="17" t="s">
        <v>107</v>
      </c>
      <c r="O80" s="6">
        <v>0</v>
      </c>
      <c r="P80" s="6">
        <v>760.26433228729707</v>
      </c>
    </row>
    <row r="81" spans="2:16" ht="18" customHeight="1" x14ac:dyDescent="0.25">
      <c r="B81" t="s">
        <v>56</v>
      </c>
      <c r="C81" t="s">
        <v>83</v>
      </c>
      <c r="D81" t="s">
        <v>119</v>
      </c>
      <c r="E81" s="11" t="s">
        <v>106</v>
      </c>
      <c r="F81" s="20">
        <v>2.1830805818029639</v>
      </c>
      <c r="G81" s="29">
        <v>0</v>
      </c>
      <c r="H81" s="30">
        <v>69242</v>
      </c>
      <c r="I81" s="30">
        <v>0</v>
      </c>
      <c r="J81" s="31">
        <v>0</v>
      </c>
      <c r="K81" s="30">
        <v>69242</v>
      </c>
      <c r="L81" s="32">
        <v>0.7</v>
      </c>
      <c r="M81" s="30">
        <v>0</v>
      </c>
      <c r="N81" s="32" t="s">
        <v>107</v>
      </c>
      <c r="O81" s="30">
        <v>0</v>
      </c>
      <c r="P81" s="30">
        <v>215944.09377885834</v>
      </c>
    </row>
    <row r="82" spans="2:16" ht="18" customHeight="1" thickBot="1" x14ac:dyDescent="0.3">
      <c r="B82" s="35"/>
      <c r="C82" s="35"/>
      <c r="D82" s="35"/>
      <c r="E82" s="36"/>
      <c r="F82" s="37" t="s">
        <v>42</v>
      </c>
      <c r="G82" s="38">
        <v>0</v>
      </c>
      <c r="H82" s="38">
        <v>69425</v>
      </c>
      <c r="I82" s="38">
        <v>0</v>
      </c>
      <c r="J82" s="39">
        <v>0</v>
      </c>
      <c r="K82" s="38">
        <v>69425</v>
      </c>
      <c r="L82" s="40"/>
      <c r="M82" s="38">
        <v>0</v>
      </c>
      <c r="N82" s="40"/>
      <c r="O82" s="38">
        <v>0</v>
      </c>
      <c r="P82" s="38">
        <v>216704.35811114564</v>
      </c>
    </row>
    <row r="83" spans="2:16" ht="18" customHeight="1" thickTop="1" x14ac:dyDescent="0.25">
      <c r="B83" t="s">
        <v>57</v>
      </c>
      <c r="C83" t="s">
        <v>81</v>
      </c>
      <c r="D83" t="s">
        <v>110</v>
      </c>
      <c r="E83" s="11" t="s">
        <v>104</v>
      </c>
      <c r="F83" s="20">
        <v>2.6658333333333331</v>
      </c>
      <c r="G83" s="6">
        <v>719.85682326621929</v>
      </c>
      <c r="H83" s="6">
        <v>349.27964205816556</v>
      </c>
      <c r="I83" s="6">
        <v>584.40447427293066</v>
      </c>
      <c r="J83" s="22">
        <v>250.45906040268457</v>
      </c>
      <c r="K83" s="6">
        <v>1904</v>
      </c>
      <c r="L83" s="17">
        <v>0.51</v>
      </c>
      <c r="M83" s="6">
        <v>6817.5357693263722</v>
      </c>
      <c r="N83" s="17">
        <v>0.7</v>
      </c>
      <c r="O83" s="6">
        <v>9739.3368133233889</v>
      </c>
      <c r="P83" s="6">
        <v>3134.9086751180712</v>
      </c>
    </row>
    <row r="84" spans="2:16" ht="18" customHeight="1" x14ac:dyDescent="0.25">
      <c r="B84" t="s">
        <v>57</v>
      </c>
      <c r="C84" t="s">
        <v>81</v>
      </c>
      <c r="D84" t="s">
        <v>110</v>
      </c>
      <c r="E84" s="11" t="s">
        <v>106</v>
      </c>
      <c r="F84" s="20">
        <v>2.6950000000000003</v>
      </c>
      <c r="G84" s="29">
        <v>0</v>
      </c>
      <c r="H84" s="30">
        <v>200</v>
      </c>
      <c r="I84" s="30">
        <v>0</v>
      </c>
      <c r="J84" s="31">
        <v>0</v>
      </c>
      <c r="K84" s="30">
        <v>200</v>
      </c>
      <c r="L84" s="32">
        <v>0.65</v>
      </c>
      <c r="M84" s="30">
        <v>0</v>
      </c>
      <c r="N84" s="32" t="s">
        <v>107</v>
      </c>
      <c r="O84" s="30">
        <v>0</v>
      </c>
      <c r="P84" s="30">
        <v>829.23076923076917</v>
      </c>
    </row>
    <row r="85" spans="2:16" ht="18" customHeight="1" thickBot="1" x14ac:dyDescent="0.3">
      <c r="B85" s="35"/>
      <c r="C85" s="35"/>
      <c r="D85" s="35"/>
      <c r="E85" s="36"/>
      <c r="F85" s="37" t="s">
        <v>42</v>
      </c>
      <c r="G85" s="38">
        <v>719.85682326621929</v>
      </c>
      <c r="H85" s="38">
        <v>549.27964205816556</v>
      </c>
      <c r="I85" s="38">
        <v>584.40447427293066</v>
      </c>
      <c r="J85" s="39">
        <v>250.45906040268457</v>
      </c>
      <c r="K85" s="38">
        <v>2104</v>
      </c>
      <c r="L85" s="40"/>
      <c r="M85" s="38">
        <v>6817.5357693263722</v>
      </c>
      <c r="N85" s="40"/>
      <c r="O85" s="38">
        <v>9739.3368133233889</v>
      </c>
      <c r="P85" s="38">
        <v>3964.1394443488402</v>
      </c>
    </row>
    <row r="86" spans="2:16" ht="18" customHeight="1" thickTop="1" x14ac:dyDescent="0.25">
      <c r="B86" t="s">
        <v>59</v>
      </c>
      <c r="C86" t="s">
        <v>82</v>
      </c>
      <c r="D86" t="s">
        <v>139</v>
      </c>
      <c r="E86" s="11" t="s">
        <v>122</v>
      </c>
      <c r="F86" s="20">
        <v>2.4910648086468137</v>
      </c>
      <c r="G86" s="6">
        <v>0</v>
      </c>
      <c r="H86" s="6">
        <v>10167</v>
      </c>
      <c r="I86" s="6">
        <v>0</v>
      </c>
      <c r="J86" s="22">
        <v>0</v>
      </c>
      <c r="K86" s="6">
        <v>10167</v>
      </c>
      <c r="L86" s="17">
        <v>0.85</v>
      </c>
      <c r="M86" s="6">
        <v>0</v>
      </c>
      <c r="N86" s="17" t="s">
        <v>107</v>
      </c>
      <c r="O86" s="6">
        <v>0</v>
      </c>
      <c r="P86" s="6">
        <v>29796.065775896655</v>
      </c>
    </row>
    <row r="87" spans="2:16" ht="18" customHeight="1" x14ac:dyDescent="0.25">
      <c r="B87" t="s">
        <v>59</v>
      </c>
      <c r="C87" t="s">
        <v>82</v>
      </c>
      <c r="D87" t="s">
        <v>139</v>
      </c>
      <c r="E87" s="11" t="s">
        <v>104</v>
      </c>
      <c r="F87" s="20">
        <v>2.2316666666666669</v>
      </c>
      <c r="G87" s="6">
        <v>22.063660477453581</v>
      </c>
      <c r="H87" s="6">
        <v>4004.5543766578248</v>
      </c>
      <c r="I87" s="6">
        <v>66.190981432360743</v>
      </c>
      <c r="J87" s="22">
        <v>66.190981432360743</v>
      </c>
      <c r="K87" s="6">
        <v>4159</v>
      </c>
      <c r="L87" s="17">
        <v>0.55000000000000004</v>
      </c>
      <c r="M87" s="6">
        <v>358.09989550679205</v>
      </c>
      <c r="N87" s="17">
        <v>0.65</v>
      </c>
      <c r="O87" s="6">
        <v>550.92291616429543</v>
      </c>
      <c r="P87" s="6">
        <v>16517.357680250785</v>
      </c>
    </row>
    <row r="88" spans="2:16" ht="18" customHeight="1" x14ac:dyDescent="0.25">
      <c r="B88" t="s">
        <v>59</v>
      </c>
      <c r="C88" t="s">
        <v>82</v>
      </c>
      <c r="D88" t="s">
        <v>139</v>
      </c>
      <c r="E88" s="11" t="s">
        <v>106</v>
      </c>
      <c r="F88" s="20">
        <v>3.094104820621348</v>
      </c>
      <c r="G88" s="6">
        <v>0</v>
      </c>
      <c r="H88" s="6">
        <v>2634</v>
      </c>
      <c r="I88" s="6">
        <v>0</v>
      </c>
      <c r="J88" s="22">
        <v>0</v>
      </c>
      <c r="K88" s="6">
        <v>2634</v>
      </c>
      <c r="L88" s="17">
        <v>0.65</v>
      </c>
      <c r="M88" s="6">
        <v>0</v>
      </c>
      <c r="N88" s="17" t="s">
        <v>107</v>
      </c>
      <c r="O88" s="6">
        <v>0</v>
      </c>
      <c r="P88" s="6">
        <v>12538.2647654102</v>
      </c>
    </row>
    <row r="89" spans="2:16" ht="18" customHeight="1" x14ac:dyDescent="0.25">
      <c r="B89" t="s">
        <v>59</v>
      </c>
      <c r="C89" t="s">
        <v>82</v>
      </c>
      <c r="D89" t="s">
        <v>132</v>
      </c>
      <c r="E89" s="11" t="s">
        <v>104</v>
      </c>
      <c r="F89" s="20">
        <v>2.502096623336775</v>
      </c>
      <c r="G89" s="6">
        <v>11.315649867374006</v>
      </c>
      <c r="H89" s="6">
        <v>2053.7904509283821</v>
      </c>
      <c r="I89" s="6">
        <v>33.946949602122018</v>
      </c>
      <c r="J89" s="22">
        <v>33.946949602122018</v>
      </c>
      <c r="K89" s="6">
        <v>2133</v>
      </c>
      <c r="L89" s="17">
        <v>0.55000000000000004</v>
      </c>
      <c r="M89" s="6">
        <v>205.91163144740162</v>
      </c>
      <c r="N89" s="17">
        <v>0.65</v>
      </c>
      <c r="O89" s="6">
        <v>316.78712530369478</v>
      </c>
      <c r="P89" s="6">
        <v>9497.6740005113988</v>
      </c>
    </row>
    <row r="90" spans="2:16" ht="18" customHeight="1" x14ac:dyDescent="0.25">
      <c r="B90" t="s">
        <v>59</v>
      </c>
      <c r="C90" t="s">
        <v>82</v>
      </c>
      <c r="D90" t="s">
        <v>132</v>
      </c>
      <c r="E90" s="11" t="s">
        <v>106</v>
      </c>
      <c r="F90" s="20">
        <v>1.924182545821747</v>
      </c>
      <c r="G90" s="6">
        <v>0</v>
      </c>
      <c r="H90" s="6">
        <v>312</v>
      </c>
      <c r="I90" s="6">
        <v>0</v>
      </c>
      <c r="J90" s="22">
        <v>0</v>
      </c>
      <c r="K90" s="6">
        <v>312</v>
      </c>
      <c r="L90" s="17">
        <v>0.65</v>
      </c>
      <c r="M90" s="6">
        <v>0</v>
      </c>
      <c r="N90" s="17" t="s">
        <v>107</v>
      </c>
      <c r="O90" s="6">
        <v>0</v>
      </c>
      <c r="P90" s="6">
        <v>923.60762199443843</v>
      </c>
    </row>
    <row r="91" spans="2:16" ht="18" customHeight="1" x14ac:dyDescent="0.25">
      <c r="B91" t="s">
        <v>59</v>
      </c>
      <c r="C91" t="s">
        <v>82</v>
      </c>
      <c r="D91" t="s">
        <v>123</v>
      </c>
      <c r="E91" s="11" t="s">
        <v>122</v>
      </c>
      <c r="F91" s="20">
        <v>2.7321736518981941</v>
      </c>
      <c r="G91" s="6">
        <v>0</v>
      </c>
      <c r="H91" s="6">
        <v>5539</v>
      </c>
      <c r="I91" s="6">
        <v>0</v>
      </c>
      <c r="J91" s="22">
        <v>0</v>
      </c>
      <c r="K91" s="6">
        <v>5539</v>
      </c>
      <c r="L91" s="17">
        <v>0.85</v>
      </c>
      <c r="M91" s="6">
        <v>0</v>
      </c>
      <c r="N91" s="17" t="s">
        <v>107</v>
      </c>
      <c r="O91" s="6">
        <v>0</v>
      </c>
      <c r="P91" s="6">
        <v>17804.129244545999</v>
      </c>
    </row>
    <row r="92" spans="2:16" ht="18" customHeight="1" x14ac:dyDescent="0.25">
      <c r="B92" t="s">
        <v>59</v>
      </c>
      <c r="C92" t="s">
        <v>82</v>
      </c>
      <c r="D92" t="s">
        <v>123</v>
      </c>
      <c r="E92" s="11" t="s">
        <v>104</v>
      </c>
      <c r="F92" s="20">
        <v>2.7188436640833302</v>
      </c>
      <c r="G92" s="6">
        <v>0</v>
      </c>
      <c r="H92" s="6">
        <v>1022</v>
      </c>
      <c r="I92" s="6">
        <v>0</v>
      </c>
      <c r="J92" s="22">
        <v>0</v>
      </c>
      <c r="K92" s="6">
        <v>1022</v>
      </c>
      <c r="L92" s="17">
        <v>0.6</v>
      </c>
      <c r="M92" s="6">
        <v>0</v>
      </c>
      <c r="N92" s="17" t="s">
        <v>107</v>
      </c>
      <c r="O92" s="6">
        <v>0</v>
      </c>
      <c r="P92" s="6">
        <v>4631.0970411552726</v>
      </c>
    </row>
    <row r="93" spans="2:16" ht="18" customHeight="1" x14ac:dyDescent="0.25">
      <c r="B93" t="s">
        <v>59</v>
      </c>
      <c r="C93" t="s">
        <v>82</v>
      </c>
      <c r="D93" t="s">
        <v>123</v>
      </c>
      <c r="E93" s="11" t="s">
        <v>106</v>
      </c>
      <c r="F93" s="20">
        <v>3.3587191144900452</v>
      </c>
      <c r="G93" s="29">
        <v>0</v>
      </c>
      <c r="H93" s="30">
        <v>1430</v>
      </c>
      <c r="I93" s="30">
        <v>0</v>
      </c>
      <c r="J93" s="31">
        <v>0</v>
      </c>
      <c r="K93" s="30">
        <v>1430</v>
      </c>
      <c r="L93" s="32">
        <v>0.65</v>
      </c>
      <c r="M93" s="30">
        <v>0</v>
      </c>
      <c r="N93" s="32" t="s">
        <v>107</v>
      </c>
      <c r="O93" s="30">
        <v>0</v>
      </c>
      <c r="P93" s="30">
        <v>7389.1820518780987</v>
      </c>
    </row>
    <row r="94" spans="2:16" ht="18" customHeight="1" thickBot="1" x14ac:dyDescent="0.3">
      <c r="B94" s="35"/>
      <c r="C94" s="35"/>
      <c r="D94" s="35"/>
      <c r="E94" s="36"/>
      <c r="F94" s="37" t="s">
        <v>42</v>
      </c>
      <c r="G94" s="38">
        <v>33.379310344827587</v>
      </c>
      <c r="H94" s="38">
        <v>27162.34482758621</v>
      </c>
      <c r="I94" s="38">
        <v>100.13793103448276</v>
      </c>
      <c r="J94" s="39">
        <v>100.13793103448276</v>
      </c>
      <c r="K94" s="38">
        <v>27396</v>
      </c>
      <c r="L94" s="40"/>
      <c r="M94" s="38">
        <v>564.01152695419364</v>
      </c>
      <c r="N94" s="40"/>
      <c r="O94" s="38">
        <v>867.71004146799021</v>
      </c>
      <c r="P94" s="38">
        <v>99097.378181642853</v>
      </c>
    </row>
    <row r="95" spans="2:16" ht="18" customHeight="1" thickTop="1" x14ac:dyDescent="0.25">
      <c r="B95" t="s">
        <v>60</v>
      </c>
      <c r="C95" t="s">
        <v>80</v>
      </c>
      <c r="D95" t="s">
        <v>140</v>
      </c>
      <c r="E95" s="11" t="s">
        <v>104</v>
      </c>
      <c r="F95" s="20">
        <v>1.9524999999999999</v>
      </c>
      <c r="G95" s="6">
        <v>19</v>
      </c>
      <c r="H95" s="6">
        <v>0</v>
      </c>
      <c r="I95" s="6">
        <v>0</v>
      </c>
      <c r="J95" s="22">
        <v>0</v>
      </c>
      <c r="K95" s="6">
        <v>19</v>
      </c>
      <c r="L95" s="17">
        <v>0.55000000000000004</v>
      </c>
      <c r="M95" s="6">
        <v>67.449999999999989</v>
      </c>
      <c r="N95" s="17">
        <v>0.7</v>
      </c>
      <c r="O95" s="6">
        <v>96.357142857142847</v>
      </c>
      <c r="P95" s="6">
        <v>0</v>
      </c>
    </row>
    <row r="96" spans="2:16" ht="18" customHeight="1" x14ac:dyDescent="0.25">
      <c r="B96" t="s">
        <v>60</v>
      </c>
      <c r="C96" t="s">
        <v>82</v>
      </c>
      <c r="D96" t="s">
        <v>141</v>
      </c>
      <c r="E96" s="11" t="s">
        <v>106</v>
      </c>
      <c r="F96" s="20">
        <v>1.6924999999999999</v>
      </c>
      <c r="G96" s="29">
        <v>0</v>
      </c>
      <c r="H96" s="30">
        <v>47</v>
      </c>
      <c r="I96" s="30">
        <v>0</v>
      </c>
      <c r="J96" s="31">
        <v>0</v>
      </c>
      <c r="K96" s="30">
        <v>47</v>
      </c>
      <c r="L96" s="32">
        <v>0.65</v>
      </c>
      <c r="M96" s="30">
        <v>0</v>
      </c>
      <c r="N96" s="32" t="s">
        <v>107</v>
      </c>
      <c r="O96" s="30">
        <v>0</v>
      </c>
      <c r="P96" s="30">
        <v>122.38076923076923</v>
      </c>
    </row>
    <row r="97" spans="2:16" ht="18" customHeight="1" thickBot="1" x14ac:dyDescent="0.3">
      <c r="B97" s="35"/>
      <c r="C97" s="35"/>
      <c r="D97" s="35"/>
      <c r="E97" s="36"/>
      <c r="F97" s="37" t="s">
        <v>42</v>
      </c>
      <c r="G97" s="38">
        <v>19</v>
      </c>
      <c r="H97" s="38">
        <v>47</v>
      </c>
      <c r="I97" s="38">
        <v>0</v>
      </c>
      <c r="J97" s="39">
        <v>0</v>
      </c>
      <c r="K97" s="38">
        <v>66</v>
      </c>
      <c r="L97" s="40"/>
      <c r="M97" s="38">
        <v>67.449999999999989</v>
      </c>
      <c r="N97" s="40"/>
      <c r="O97" s="38">
        <v>96.357142857142847</v>
      </c>
      <c r="P97" s="38">
        <v>122.38076923076923</v>
      </c>
    </row>
    <row r="98" spans="2:16" ht="18" customHeight="1" thickTop="1" x14ac:dyDescent="0.25">
      <c r="B98" t="s">
        <v>61</v>
      </c>
      <c r="C98" t="s">
        <v>79</v>
      </c>
      <c r="D98" t="s">
        <v>113</v>
      </c>
      <c r="E98" s="11" t="s">
        <v>104</v>
      </c>
      <c r="F98" s="20">
        <v>1.3415400000000002</v>
      </c>
      <c r="G98" s="6">
        <v>7680</v>
      </c>
      <c r="H98" s="6">
        <v>0</v>
      </c>
      <c r="I98" s="6">
        <v>0</v>
      </c>
      <c r="J98" s="22">
        <v>0</v>
      </c>
      <c r="K98" s="6">
        <v>7680</v>
      </c>
      <c r="L98" s="17">
        <v>0.55000000000000004</v>
      </c>
      <c r="M98" s="6">
        <v>18732.776727272725</v>
      </c>
      <c r="N98" s="17">
        <v>0.7</v>
      </c>
      <c r="O98" s="6">
        <v>26761.109610389609</v>
      </c>
      <c r="P98" s="6">
        <v>0</v>
      </c>
    </row>
    <row r="99" spans="2:16" ht="18" customHeight="1" x14ac:dyDescent="0.25">
      <c r="B99" t="s">
        <v>61</v>
      </c>
      <c r="C99" t="s">
        <v>79</v>
      </c>
      <c r="D99" t="s">
        <v>113</v>
      </c>
      <c r="E99" s="11" t="s">
        <v>106</v>
      </c>
      <c r="F99" s="20">
        <v>1.1242733333333335</v>
      </c>
      <c r="G99" s="29">
        <v>1676</v>
      </c>
      <c r="H99" s="30">
        <v>0</v>
      </c>
      <c r="I99" s="30">
        <v>0</v>
      </c>
      <c r="J99" s="31">
        <v>0</v>
      </c>
      <c r="K99" s="30">
        <v>1676</v>
      </c>
      <c r="L99" s="32">
        <v>0.65</v>
      </c>
      <c r="M99" s="30">
        <v>2898.8955487179487</v>
      </c>
      <c r="N99" s="32">
        <v>0.7</v>
      </c>
      <c r="O99" s="30">
        <v>4141.2793553113552</v>
      </c>
      <c r="P99" s="30">
        <v>0</v>
      </c>
    </row>
    <row r="100" spans="2:16" ht="18" customHeight="1" thickBot="1" x14ac:dyDescent="0.3">
      <c r="B100" s="35"/>
      <c r="C100" s="35"/>
      <c r="D100" s="35"/>
      <c r="E100" s="36"/>
      <c r="F100" s="37" t="s">
        <v>42</v>
      </c>
      <c r="G100" s="38">
        <v>9356</v>
      </c>
      <c r="H100" s="38">
        <v>0</v>
      </c>
      <c r="I100" s="38">
        <v>0</v>
      </c>
      <c r="J100" s="39">
        <v>0</v>
      </c>
      <c r="K100" s="38">
        <v>9356</v>
      </c>
      <c r="L100" s="40"/>
      <c r="M100" s="38">
        <v>21631.672275990673</v>
      </c>
      <c r="N100" s="40"/>
      <c r="O100" s="38">
        <v>30902.388965700964</v>
      </c>
      <c r="P100" s="38">
        <v>0</v>
      </c>
    </row>
    <row r="101" spans="2:16" ht="18" customHeight="1" thickTop="1" x14ac:dyDescent="0.25">
      <c r="B101" t="s">
        <v>62</v>
      </c>
      <c r="C101" t="s">
        <v>81</v>
      </c>
      <c r="D101" t="s">
        <v>111</v>
      </c>
      <c r="E101" s="11" t="s">
        <v>104</v>
      </c>
      <c r="F101" s="20">
        <v>1.9091666666666667</v>
      </c>
      <c r="G101" s="6">
        <v>373</v>
      </c>
      <c r="H101" s="6">
        <v>0</v>
      </c>
      <c r="I101" s="6">
        <v>0</v>
      </c>
      <c r="J101" s="22">
        <v>0</v>
      </c>
      <c r="K101" s="6">
        <v>373</v>
      </c>
      <c r="L101" s="17">
        <v>0.55000000000000004</v>
      </c>
      <c r="M101" s="6">
        <v>1294.762121212121</v>
      </c>
      <c r="N101" s="17">
        <v>0.7</v>
      </c>
      <c r="O101" s="6">
        <v>1849.6601731601729</v>
      </c>
      <c r="P101" s="6">
        <v>0</v>
      </c>
    </row>
    <row r="102" spans="2:16" ht="18" customHeight="1" x14ac:dyDescent="0.25">
      <c r="B102" t="s">
        <v>62</v>
      </c>
      <c r="C102" t="s">
        <v>82</v>
      </c>
      <c r="D102" t="s">
        <v>142</v>
      </c>
      <c r="E102" s="11" t="s">
        <v>106</v>
      </c>
      <c r="F102" s="20">
        <v>2.2290541666666663</v>
      </c>
      <c r="G102" s="6">
        <v>0</v>
      </c>
      <c r="H102" s="6">
        <v>1334</v>
      </c>
      <c r="I102" s="6">
        <v>0</v>
      </c>
      <c r="J102" s="22">
        <v>0</v>
      </c>
      <c r="K102" s="6">
        <v>1334</v>
      </c>
      <c r="L102" s="17">
        <v>0.65</v>
      </c>
      <c r="M102" s="6">
        <v>0</v>
      </c>
      <c r="N102" s="17" t="s">
        <v>107</v>
      </c>
      <c r="O102" s="6">
        <v>0</v>
      </c>
      <c r="P102" s="6">
        <v>4574.7050128205119</v>
      </c>
    </row>
    <row r="103" spans="2:16" ht="18" customHeight="1" x14ac:dyDescent="0.25">
      <c r="B103" t="s">
        <v>62</v>
      </c>
      <c r="C103" t="s">
        <v>82</v>
      </c>
      <c r="D103" t="s">
        <v>143</v>
      </c>
      <c r="E103" s="11" t="s">
        <v>122</v>
      </c>
      <c r="F103" s="20">
        <v>1.9524999999999999</v>
      </c>
      <c r="G103" s="6">
        <v>0</v>
      </c>
      <c r="H103" s="6">
        <v>60</v>
      </c>
      <c r="I103" s="6">
        <v>0</v>
      </c>
      <c r="J103" s="22">
        <v>0</v>
      </c>
      <c r="K103" s="6">
        <v>60</v>
      </c>
      <c r="L103" s="17">
        <v>0.85</v>
      </c>
      <c r="M103" s="6">
        <v>0</v>
      </c>
      <c r="N103" s="17" t="s">
        <v>107</v>
      </c>
      <c r="O103" s="6">
        <v>0</v>
      </c>
      <c r="P103" s="6">
        <v>137.8235294117647</v>
      </c>
    </row>
    <row r="104" spans="2:16" ht="18" customHeight="1" x14ac:dyDescent="0.25">
      <c r="B104" t="s">
        <v>62</v>
      </c>
      <c r="C104" t="s">
        <v>82</v>
      </c>
      <c r="D104" t="s">
        <v>143</v>
      </c>
      <c r="E104" s="11" t="s">
        <v>104</v>
      </c>
      <c r="F104" s="20">
        <v>2.9558333333333331</v>
      </c>
      <c r="G104" s="6">
        <v>588.37209302325584</v>
      </c>
      <c r="H104" s="6">
        <v>0</v>
      </c>
      <c r="I104" s="6">
        <v>1305.1162790697674</v>
      </c>
      <c r="J104" s="22">
        <v>406.51162790697674</v>
      </c>
      <c r="K104" s="6">
        <v>2300</v>
      </c>
      <c r="L104" s="17">
        <v>0.6</v>
      </c>
      <c r="M104" s="6">
        <v>9328.0600775193798</v>
      </c>
      <c r="N104" s="17">
        <v>0.7</v>
      </c>
      <c r="O104" s="6">
        <v>13325.800110741971</v>
      </c>
      <c r="P104" s="6">
        <v>2002.6343669250643</v>
      </c>
    </row>
    <row r="105" spans="2:16" ht="18" customHeight="1" x14ac:dyDescent="0.25">
      <c r="B105" t="s">
        <v>62</v>
      </c>
      <c r="C105" t="s">
        <v>82</v>
      </c>
      <c r="D105" t="s">
        <v>143</v>
      </c>
      <c r="E105" s="11" t="s">
        <v>106</v>
      </c>
      <c r="F105" s="20">
        <v>2.8669416666666661</v>
      </c>
      <c r="G105" s="29">
        <v>0</v>
      </c>
      <c r="H105" s="30">
        <v>587</v>
      </c>
      <c r="I105" s="30">
        <v>0</v>
      </c>
      <c r="J105" s="31">
        <v>0</v>
      </c>
      <c r="K105" s="30">
        <v>587</v>
      </c>
      <c r="L105" s="32">
        <v>0.65</v>
      </c>
      <c r="M105" s="30">
        <v>0</v>
      </c>
      <c r="N105" s="32" t="s">
        <v>107</v>
      </c>
      <c r="O105" s="30">
        <v>0</v>
      </c>
      <c r="P105" s="30">
        <v>2589.0688589743581</v>
      </c>
    </row>
    <row r="106" spans="2:16" ht="18" customHeight="1" thickBot="1" x14ac:dyDescent="0.3">
      <c r="B106" s="35"/>
      <c r="C106" s="35"/>
      <c r="D106" s="35"/>
      <c r="E106" s="36"/>
      <c r="F106" s="37" t="s">
        <v>42</v>
      </c>
      <c r="G106" s="38">
        <v>961.37209302325584</v>
      </c>
      <c r="H106" s="38">
        <v>1981</v>
      </c>
      <c r="I106" s="38">
        <v>1305.1162790697674</v>
      </c>
      <c r="J106" s="39">
        <v>406.51162790697674</v>
      </c>
      <c r="K106" s="38">
        <v>4654</v>
      </c>
      <c r="L106" s="40"/>
      <c r="M106" s="38">
        <v>10622.822198731501</v>
      </c>
      <c r="N106" s="40"/>
      <c r="O106" s="38">
        <v>15175.460283902145</v>
      </c>
      <c r="P106" s="38">
        <v>9304.2317681316999</v>
      </c>
    </row>
    <row r="107" spans="2:16" ht="18" customHeight="1" thickTop="1" x14ac:dyDescent="0.25">
      <c r="B107" t="s">
        <v>63</v>
      </c>
      <c r="C107" t="s">
        <v>79</v>
      </c>
      <c r="D107" t="s">
        <v>144</v>
      </c>
      <c r="E107" s="11" t="s">
        <v>104</v>
      </c>
      <c r="F107" s="20">
        <v>1.7410591666666668</v>
      </c>
      <c r="G107" s="6">
        <v>6361</v>
      </c>
      <c r="H107" s="6">
        <v>0</v>
      </c>
      <c r="I107" s="6">
        <v>0</v>
      </c>
      <c r="J107" s="22">
        <v>0</v>
      </c>
      <c r="K107" s="6">
        <v>6361</v>
      </c>
      <c r="L107" s="17">
        <v>0.6</v>
      </c>
      <c r="M107" s="6">
        <v>18458.128931944444</v>
      </c>
      <c r="N107" s="17">
        <v>0.4</v>
      </c>
      <c r="O107" s="6">
        <v>46145.322329861105</v>
      </c>
      <c r="P107" s="6">
        <v>0</v>
      </c>
    </row>
    <row r="108" spans="2:16" ht="18" customHeight="1" x14ac:dyDescent="0.25">
      <c r="B108" t="s">
        <v>63</v>
      </c>
      <c r="C108" t="s">
        <v>79</v>
      </c>
      <c r="D108" t="s">
        <v>144</v>
      </c>
      <c r="E108" s="11" t="s">
        <v>106</v>
      </c>
      <c r="F108" s="20">
        <v>1.5882366666666667</v>
      </c>
      <c r="G108" s="6">
        <v>2980</v>
      </c>
      <c r="H108" s="6">
        <v>0</v>
      </c>
      <c r="I108" s="6">
        <v>0</v>
      </c>
      <c r="J108" s="22">
        <v>0</v>
      </c>
      <c r="K108" s="6">
        <v>2980</v>
      </c>
      <c r="L108" s="17">
        <v>0.65</v>
      </c>
      <c r="M108" s="6">
        <v>7281.4542564102558</v>
      </c>
      <c r="N108" s="17">
        <v>0.4</v>
      </c>
      <c r="O108" s="6">
        <v>18203.635641025638</v>
      </c>
      <c r="P108" s="6">
        <v>0</v>
      </c>
    </row>
    <row r="109" spans="2:16" ht="18" customHeight="1" x14ac:dyDescent="0.25">
      <c r="B109" t="s">
        <v>63</v>
      </c>
      <c r="C109" t="s">
        <v>79</v>
      </c>
      <c r="D109" t="s">
        <v>113</v>
      </c>
      <c r="E109" s="11" t="s">
        <v>104</v>
      </c>
      <c r="F109" s="20">
        <v>1.5650000000000002</v>
      </c>
      <c r="G109" s="6">
        <v>0</v>
      </c>
      <c r="H109" s="6">
        <v>680</v>
      </c>
      <c r="I109" s="6">
        <v>0</v>
      </c>
      <c r="J109" s="22">
        <v>0</v>
      </c>
      <c r="K109" s="6">
        <v>680</v>
      </c>
      <c r="L109" s="17">
        <v>0.6</v>
      </c>
      <c r="M109" s="6">
        <v>0</v>
      </c>
      <c r="N109" s="17" t="s">
        <v>107</v>
      </c>
      <c r="O109" s="6">
        <v>0</v>
      </c>
      <c r="P109" s="6">
        <v>1773.6666666666667</v>
      </c>
    </row>
    <row r="110" spans="2:16" ht="18" customHeight="1" x14ac:dyDescent="0.25">
      <c r="B110" t="s">
        <v>63</v>
      </c>
      <c r="C110" t="s">
        <v>79</v>
      </c>
      <c r="D110" t="s">
        <v>113</v>
      </c>
      <c r="E110" s="11" t="s">
        <v>106</v>
      </c>
      <c r="F110" s="20">
        <v>1.7614160839160842</v>
      </c>
      <c r="G110" s="6">
        <v>0</v>
      </c>
      <c r="H110" s="6">
        <v>7150</v>
      </c>
      <c r="I110" s="6">
        <v>0</v>
      </c>
      <c r="J110" s="22">
        <v>0</v>
      </c>
      <c r="K110" s="6">
        <v>7150</v>
      </c>
      <c r="L110" s="17">
        <v>0.65</v>
      </c>
      <c r="M110" s="6">
        <v>0</v>
      </c>
      <c r="N110" s="17" t="s">
        <v>107</v>
      </c>
      <c r="O110" s="6">
        <v>0</v>
      </c>
      <c r="P110" s="6">
        <v>19375.576923076926</v>
      </c>
    </row>
    <row r="111" spans="2:16" ht="18" customHeight="1" x14ac:dyDescent="0.25">
      <c r="B111" t="s">
        <v>63</v>
      </c>
      <c r="C111" t="s">
        <v>81</v>
      </c>
      <c r="D111" t="s">
        <v>145</v>
      </c>
      <c r="E111" s="11" t="s">
        <v>106</v>
      </c>
      <c r="F111" s="20">
        <v>1.4458333333333335</v>
      </c>
      <c r="G111" s="29">
        <v>0</v>
      </c>
      <c r="H111" s="30">
        <v>3050</v>
      </c>
      <c r="I111" s="30">
        <v>0</v>
      </c>
      <c r="J111" s="31">
        <v>0</v>
      </c>
      <c r="K111" s="30">
        <v>3050</v>
      </c>
      <c r="L111" s="32">
        <v>0.65</v>
      </c>
      <c r="M111" s="30">
        <v>0</v>
      </c>
      <c r="N111" s="32" t="s">
        <v>107</v>
      </c>
      <c r="O111" s="30">
        <v>0</v>
      </c>
      <c r="P111" s="30">
        <v>6784.2948717948721</v>
      </c>
    </row>
    <row r="112" spans="2:16" ht="18" customHeight="1" thickBot="1" x14ac:dyDescent="0.3">
      <c r="B112" s="35"/>
      <c r="C112" s="35"/>
      <c r="D112" s="35"/>
      <c r="E112" s="36"/>
      <c r="F112" s="37" t="s">
        <v>42</v>
      </c>
      <c r="G112" s="38">
        <v>9341</v>
      </c>
      <c r="H112" s="38">
        <v>10880</v>
      </c>
      <c r="I112" s="38">
        <v>0</v>
      </c>
      <c r="J112" s="39">
        <v>0</v>
      </c>
      <c r="K112" s="38">
        <v>20221</v>
      </c>
      <c r="L112" s="40"/>
      <c r="M112" s="38">
        <v>25739.5831883547</v>
      </c>
      <c r="N112" s="40"/>
      <c r="O112" s="38">
        <v>64348.957970886739</v>
      </c>
      <c r="P112" s="38">
        <v>27933.538461538465</v>
      </c>
    </row>
    <row r="113" spans="2:16" ht="18" customHeight="1" thickTop="1" x14ac:dyDescent="0.25">
      <c r="B113" t="s">
        <v>64</v>
      </c>
      <c r="C113" t="s">
        <v>82</v>
      </c>
      <c r="D113" t="s">
        <v>146</v>
      </c>
      <c r="E113" s="11" t="s">
        <v>104</v>
      </c>
      <c r="F113" s="20">
        <v>1.4267816666666668</v>
      </c>
      <c r="G113" s="6">
        <v>19378.495712535729</v>
      </c>
      <c r="H113" s="6">
        <v>408.65659452837895</v>
      </c>
      <c r="I113" s="6">
        <v>171.63576970191914</v>
      </c>
      <c r="J113" s="22">
        <v>57.211923233973053</v>
      </c>
      <c r="K113" s="6">
        <v>20016</v>
      </c>
      <c r="L113" s="17">
        <v>0.5</v>
      </c>
      <c r="M113" s="6">
        <v>55787.53835955901</v>
      </c>
      <c r="N113" s="17">
        <v>0.6</v>
      </c>
      <c r="O113" s="6">
        <v>92979.230599265022</v>
      </c>
      <c r="P113" s="6">
        <v>1329.3853204409966</v>
      </c>
    </row>
    <row r="114" spans="2:16" ht="18" customHeight="1" x14ac:dyDescent="0.25">
      <c r="B114" t="s">
        <v>64</v>
      </c>
      <c r="C114" t="s">
        <v>82</v>
      </c>
      <c r="D114" t="s">
        <v>147</v>
      </c>
      <c r="E114" s="11" t="s">
        <v>104</v>
      </c>
      <c r="F114" s="20">
        <v>1.9915200000000002</v>
      </c>
      <c r="G114" s="6">
        <v>1052</v>
      </c>
      <c r="H114" s="6">
        <v>0</v>
      </c>
      <c r="I114" s="6">
        <v>0</v>
      </c>
      <c r="J114" s="22">
        <v>0</v>
      </c>
      <c r="K114" s="6">
        <v>1052</v>
      </c>
      <c r="L114" s="17">
        <v>0.55000000000000004</v>
      </c>
      <c r="M114" s="6">
        <v>3809.234618181818</v>
      </c>
      <c r="N114" s="17">
        <v>0.7</v>
      </c>
      <c r="O114" s="6">
        <v>5441.7637402597402</v>
      </c>
      <c r="P114" s="6">
        <v>0</v>
      </c>
    </row>
    <row r="115" spans="2:16" ht="18" customHeight="1" x14ac:dyDescent="0.25">
      <c r="B115" t="s">
        <v>64</v>
      </c>
      <c r="C115" t="s">
        <v>82</v>
      </c>
      <c r="D115" t="s">
        <v>148</v>
      </c>
      <c r="E115" s="11" t="s">
        <v>104</v>
      </c>
      <c r="F115" s="20">
        <v>2.2773249999999998</v>
      </c>
      <c r="G115" s="6">
        <v>875</v>
      </c>
      <c r="H115" s="6">
        <v>0</v>
      </c>
      <c r="I115" s="6">
        <v>0</v>
      </c>
      <c r="J115" s="22">
        <v>0</v>
      </c>
      <c r="K115" s="6">
        <v>875</v>
      </c>
      <c r="L115" s="17">
        <v>0.4</v>
      </c>
      <c r="M115" s="6">
        <v>4981.6484375</v>
      </c>
      <c r="N115" s="17">
        <v>0.7</v>
      </c>
      <c r="O115" s="6">
        <v>7116.640625</v>
      </c>
      <c r="P115" s="6">
        <v>0</v>
      </c>
    </row>
    <row r="116" spans="2:16" ht="18" customHeight="1" x14ac:dyDescent="0.25">
      <c r="B116" t="s">
        <v>64</v>
      </c>
      <c r="C116" t="s">
        <v>82</v>
      </c>
      <c r="D116" t="s">
        <v>149</v>
      </c>
      <c r="E116" s="11" t="s">
        <v>104</v>
      </c>
      <c r="F116" s="20">
        <v>2.0092433333333335</v>
      </c>
      <c r="G116" s="6">
        <v>1411</v>
      </c>
      <c r="H116" s="6">
        <v>0</v>
      </c>
      <c r="I116" s="6">
        <v>0</v>
      </c>
      <c r="J116" s="22">
        <v>0</v>
      </c>
      <c r="K116" s="6">
        <v>1411</v>
      </c>
      <c r="L116" s="17">
        <v>0.5</v>
      </c>
      <c r="M116" s="6">
        <v>5670.084686666667</v>
      </c>
      <c r="N116" s="17">
        <v>0.7</v>
      </c>
      <c r="O116" s="6">
        <v>8100.1209809523816</v>
      </c>
      <c r="P116" s="6">
        <v>0</v>
      </c>
    </row>
    <row r="117" spans="2:16" ht="18" customHeight="1" x14ac:dyDescent="0.25">
      <c r="B117" t="s">
        <v>64</v>
      </c>
      <c r="C117" t="s">
        <v>84</v>
      </c>
      <c r="D117" t="s">
        <v>150</v>
      </c>
      <c r="E117" s="11" t="s">
        <v>104</v>
      </c>
      <c r="F117" s="20">
        <v>1.4475</v>
      </c>
      <c r="G117" s="6">
        <v>206</v>
      </c>
      <c r="H117" s="6">
        <v>0</v>
      </c>
      <c r="I117" s="6">
        <v>0</v>
      </c>
      <c r="J117" s="22">
        <v>0</v>
      </c>
      <c r="K117" s="6">
        <v>206</v>
      </c>
      <c r="L117" s="17">
        <v>0.5</v>
      </c>
      <c r="M117" s="6">
        <v>596.37</v>
      </c>
      <c r="N117" s="17">
        <v>0.7</v>
      </c>
      <c r="O117" s="6">
        <v>851.95714285714291</v>
      </c>
      <c r="P117" s="6">
        <v>0</v>
      </c>
    </row>
    <row r="118" spans="2:16" ht="18" customHeight="1" x14ac:dyDescent="0.25">
      <c r="B118" t="s">
        <v>64</v>
      </c>
      <c r="C118" t="s">
        <v>84</v>
      </c>
      <c r="D118" t="s">
        <v>150</v>
      </c>
      <c r="E118" s="11" t="s">
        <v>106</v>
      </c>
      <c r="F118" s="20">
        <v>1.5441666666666665</v>
      </c>
      <c r="G118" s="29">
        <v>52</v>
      </c>
      <c r="H118" s="30">
        <v>0</v>
      </c>
      <c r="I118" s="30">
        <v>0</v>
      </c>
      <c r="J118" s="31">
        <v>0</v>
      </c>
      <c r="K118" s="30">
        <v>52</v>
      </c>
      <c r="L118" s="32">
        <v>0.65</v>
      </c>
      <c r="M118" s="30">
        <v>123.5333333333333</v>
      </c>
      <c r="N118" s="32">
        <v>0.7</v>
      </c>
      <c r="O118" s="30">
        <v>176.47619047619045</v>
      </c>
      <c r="P118" s="30">
        <v>0</v>
      </c>
    </row>
    <row r="119" spans="2:16" ht="18" customHeight="1" thickBot="1" x14ac:dyDescent="0.3">
      <c r="B119" s="35"/>
      <c r="C119" s="35"/>
      <c r="D119" s="35"/>
      <c r="E119" s="36"/>
      <c r="F119" s="37" t="s">
        <v>42</v>
      </c>
      <c r="G119" s="38">
        <v>22974.495712535729</v>
      </c>
      <c r="H119" s="38">
        <v>408.65659452837895</v>
      </c>
      <c r="I119" s="38">
        <v>171.63576970191914</v>
      </c>
      <c r="J119" s="39">
        <v>57.211923233973053</v>
      </c>
      <c r="K119" s="38">
        <v>23612</v>
      </c>
      <c r="L119" s="40"/>
      <c r="M119" s="38">
        <v>70968.409435240828</v>
      </c>
      <c r="N119" s="40"/>
      <c r="O119" s="38">
        <v>114666.18927881047</v>
      </c>
      <c r="P119" s="38">
        <v>1329.3853204409966</v>
      </c>
    </row>
    <row r="120" spans="2:16" ht="18" customHeight="1" thickTop="1" x14ac:dyDescent="0.25">
      <c r="B120" t="s">
        <v>65</v>
      </c>
      <c r="C120" t="s">
        <v>81</v>
      </c>
      <c r="D120" t="s">
        <v>118</v>
      </c>
      <c r="E120" s="11" t="s">
        <v>106</v>
      </c>
      <c r="F120" s="20">
        <v>1.8484328358208957</v>
      </c>
      <c r="G120" s="6">
        <v>0</v>
      </c>
      <c r="H120" s="6">
        <v>402</v>
      </c>
      <c r="I120" s="6">
        <v>0</v>
      </c>
      <c r="J120" s="22">
        <v>0</v>
      </c>
      <c r="K120" s="6">
        <v>402</v>
      </c>
      <c r="L120" s="17">
        <v>0.7</v>
      </c>
      <c r="M120" s="6">
        <v>0</v>
      </c>
      <c r="N120" s="17" t="s">
        <v>107</v>
      </c>
      <c r="O120" s="6">
        <v>0</v>
      </c>
      <c r="P120" s="6">
        <v>1061.5285714285715</v>
      </c>
    </row>
    <row r="121" spans="2:16" ht="18" customHeight="1" x14ac:dyDescent="0.25">
      <c r="B121" t="s">
        <v>65</v>
      </c>
      <c r="C121" t="s">
        <v>83</v>
      </c>
      <c r="D121" t="s">
        <v>151</v>
      </c>
      <c r="E121" s="11" t="s">
        <v>106</v>
      </c>
      <c r="F121" s="20">
        <v>1.4707709696261686</v>
      </c>
      <c r="G121" s="6">
        <v>0</v>
      </c>
      <c r="H121" s="6">
        <v>10272</v>
      </c>
      <c r="I121" s="6">
        <v>0</v>
      </c>
      <c r="J121" s="22">
        <v>0</v>
      </c>
      <c r="K121" s="6">
        <v>10272</v>
      </c>
      <c r="L121" s="17">
        <v>0.7</v>
      </c>
      <c r="M121" s="6">
        <v>0</v>
      </c>
      <c r="N121" s="17" t="s">
        <v>107</v>
      </c>
      <c r="O121" s="6">
        <v>0</v>
      </c>
      <c r="P121" s="6">
        <v>21582.513428571438</v>
      </c>
    </row>
    <row r="122" spans="2:16" ht="18" customHeight="1" x14ac:dyDescent="0.25">
      <c r="B122" t="s">
        <v>65</v>
      </c>
      <c r="C122" t="s">
        <v>83</v>
      </c>
      <c r="D122" t="s">
        <v>152</v>
      </c>
      <c r="E122" s="11" t="s">
        <v>106</v>
      </c>
      <c r="F122" s="20">
        <v>1.5452333333333332</v>
      </c>
      <c r="G122" s="29">
        <v>0</v>
      </c>
      <c r="H122" s="30">
        <v>45025</v>
      </c>
      <c r="I122" s="30">
        <v>0</v>
      </c>
      <c r="J122" s="31">
        <v>0</v>
      </c>
      <c r="K122" s="30">
        <v>45025</v>
      </c>
      <c r="L122" s="32">
        <v>0.7</v>
      </c>
      <c r="M122" s="30">
        <v>0</v>
      </c>
      <c r="N122" s="32" t="s">
        <v>107</v>
      </c>
      <c r="O122" s="30">
        <v>0</v>
      </c>
      <c r="P122" s="30">
        <v>99391.615476190476</v>
      </c>
    </row>
    <row r="123" spans="2:16" ht="18" customHeight="1" thickBot="1" x14ac:dyDescent="0.3">
      <c r="B123" s="35"/>
      <c r="C123" s="35"/>
      <c r="D123" s="35"/>
      <c r="E123" s="36"/>
      <c r="F123" s="37" t="s">
        <v>42</v>
      </c>
      <c r="G123" s="38">
        <v>0</v>
      </c>
      <c r="H123" s="38">
        <v>55699</v>
      </c>
      <c r="I123" s="38">
        <v>0</v>
      </c>
      <c r="J123" s="39">
        <v>0</v>
      </c>
      <c r="K123" s="38">
        <v>55699</v>
      </c>
      <c r="L123" s="40"/>
      <c r="M123" s="38">
        <v>0</v>
      </c>
      <c r="N123" s="40"/>
      <c r="O123" s="38">
        <v>0</v>
      </c>
      <c r="P123" s="38">
        <v>122035.65747619048</v>
      </c>
    </row>
    <row r="124" spans="2:16" ht="18" customHeight="1" thickTop="1" x14ac:dyDescent="0.25">
      <c r="B124" t="s">
        <v>66</v>
      </c>
      <c r="C124" t="s">
        <v>82</v>
      </c>
      <c r="D124" t="s">
        <v>153</v>
      </c>
      <c r="E124" s="11" t="s">
        <v>104</v>
      </c>
      <c r="F124" s="20">
        <v>2.6350000000000002</v>
      </c>
      <c r="G124" s="6">
        <v>436</v>
      </c>
      <c r="H124" s="6">
        <v>0</v>
      </c>
      <c r="I124" s="6">
        <v>0</v>
      </c>
      <c r="J124" s="22">
        <v>0</v>
      </c>
      <c r="K124" s="6">
        <v>436</v>
      </c>
      <c r="L124" s="17">
        <v>0.5</v>
      </c>
      <c r="M124" s="6">
        <v>2297.7200000000003</v>
      </c>
      <c r="N124" s="17">
        <v>0.7</v>
      </c>
      <c r="O124" s="6">
        <v>3282.4571428571435</v>
      </c>
      <c r="P124" s="6">
        <v>0</v>
      </c>
    </row>
    <row r="125" spans="2:16" ht="18" customHeight="1" x14ac:dyDescent="0.25">
      <c r="B125" t="s">
        <v>66</v>
      </c>
      <c r="C125" t="s">
        <v>82</v>
      </c>
      <c r="D125" t="s">
        <v>179</v>
      </c>
      <c r="E125" s="11" t="s">
        <v>104</v>
      </c>
      <c r="F125" s="20">
        <v>2.66934</v>
      </c>
      <c r="G125" s="6">
        <v>4580.4711388455535</v>
      </c>
      <c r="H125" s="6">
        <v>0</v>
      </c>
      <c r="I125" s="6">
        <v>421.14664586583461</v>
      </c>
      <c r="J125" s="22">
        <v>140.38221528861155</v>
      </c>
      <c r="K125" s="6">
        <v>5142</v>
      </c>
      <c r="L125" s="17">
        <v>0.5</v>
      </c>
      <c r="M125" s="6">
        <v>26708.638970358814</v>
      </c>
      <c r="N125" s="17">
        <v>0.68404840981244253</v>
      </c>
      <c r="O125" s="6">
        <v>39044.954402689109</v>
      </c>
      <c r="P125" s="6">
        <v>749.6410296411857</v>
      </c>
    </row>
    <row r="126" spans="2:16" ht="18" customHeight="1" x14ac:dyDescent="0.25">
      <c r="B126" t="s">
        <v>66</v>
      </c>
      <c r="C126" t="s">
        <v>82</v>
      </c>
      <c r="D126" t="s">
        <v>154</v>
      </c>
      <c r="E126" s="11" t="s">
        <v>104</v>
      </c>
      <c r="F126" s="20">
        <v>2.0451166666666669</v>
      </c>
      <c r="G126" s="29">
        <v>1268</v>
      </c>
      <c r="H126" s="30">
        <v>0</v>
      </c>
      <c r="I126" s="30">
        <v>0</v>
      </c>
      <c r="J126" s="31">
        <v>0</v>
      </c>
      <c r="K126" s="30">
        <v>1268</v>
      </c>
      <c r="L126" s="32">
        <v>0.5</v>
      </c>
      <c r="M126" s="30">
        <v>5186.4158666666672</v>
      </c>
      <c r="N126" s="32">
        <v>0.7</v>
      </c>
      <c r="O126" s="30">
        <v>7409.1655238095254</v>
      </c>
      <c r="P126" s="30">
        <v>0</v>
      </c>
    </row>
    <row r="127" spans="2:16" ht="18" customHeight="1" thickBot="1" x14ac:dyDescent="0.3">
      <c r="B127" s="35"/>
      <c r="C127" s="35"/>
      <c r="D127" s="35"/>
      <c r="E127" s="36"/>
      <c r="F127" s="37" t="s">
        <v>42</v>
      </c>
      <c r="G127" s="38">
        <v>6284.4711388455535</v>
      </c>
      <c r="H127" s="38">
        <v>0</v>
      </c>
      <c r="I127" s="38">
        <v>421.14664586583461</v>
      </c>
      <c r="J127" s="39">
        <v>140.38221528861155</v>
      </c>
      <c r="K127" s="38">
        <v>6846</v>
      </c>
      <c r="L127" s="40"/>
      <c r="M127" s="38">
        <v>34192.774837025485</v>
      </c>
      <c r="N127" s="40"/>
      <c r="O127" s="38">
        <v>49736.577069355779</v>
      </c>
      <c r="P127" s="38">
        <v>749.6410296411857</v>
      </c>
    </row>
    <row r="128" spans="2:16" ht="18" customHeight="1" thickTop="1" x14ac:dyDescent="0.25">
      <c r="B128" t="s">
        <v>67</v>
      </c>
      <c r="C128" t="s">
        <v>84</v>
      </c>
      <c r="D128" t="s">
        <v>155</v>
      </c>
      <c r="E128" s="11" t="s">
        <v>104</v>
      </c>
      <c r="F128" s="20">
        <v>2.34</v>
      </c>
      <c r="G128" s="6">
        <v>3327</v>
      </c>
      <c r="H128" s="6">
        <v>0</v>
      </c>
      <c r="I128" s="6">
        <v>0</v>
      </c>
      <c r="J128" s="22">
        <v>0</v>
      </c>
      <c r="K128" s="6">
        <v>3327</v>
      </c>
      <c r="L128" s="17">
        <v>0.55000000000000004</v>
      </c>
      <c r="M128" s="6">
        <v>14154.702545454544</v>
      </c>
      <c r="N128" s="17">
        <v>0.7</v>
      </c>
      <c r="O128" s="6">
        <v>20221.003636363635</v>
      </c>
      <c r="P128" s="6">
        <v>0</v>
      </c>
    </row>
    <row r="129" spans="2:16" ht="18" customHeight="1" x14ac:dyDescent="0.25">
      <c r="B129" t="s">
        <v>67</v>
      </c>
      <c r="C129" t="s">
        <v>84</v>
      </c>
      <c r="D129" t="s">
        <v>155</v>
      </c>
      <c r="E129" s="11" t="s">
        <v>106</v>
      </c>
      <c r="F129" s="20">
        <v>2.34</v>
      </c>
      <c r="G129" s="6">
        <v>1243</v>
      </c>
      <c r="H129" s="6">
        <v>0</v>
      </c>
      <c r="I129" s="6">
        <v>0</v>
      </c>
      <c r="J129" s="22">
        <v>0</v>
      </c>
      <c r="K129" s="6">
        <v>1243</v>
      </c>
      <c r="L129" s="17">
        <v>0.65</v>
      </c>
      <c r="M129" s="6">
        <v>4474.9439999999995</v>
      </c>
      <c r="N129" s="17">
        <v>0.7</v>
      </c>
      <c r="O129" s="6">
        <v>6392.7771428571423</v>
      </c>
      <c r="P129" s="6">
        <v>0</v>
      </c>
    </row>
    <row r="130" spans="2:16" ht="18" customHeight="1" x14ac:dyDescent="0.25">
      <c r="B130" t="s">
        <v>67</v>
      </c>
      <c r="C130" t="s">
        <v>84</v>
      </c>
      <c r="D130" t="s">
        <v>194</v>
      </c>
      <c r="E130" s="11" t="s">
        <v>104</v>
      </c>
      <c r="F130" s="20">
        <v>2.2166739606126917</v>
      </c>
      <c r="G130" s="6">
        <v>457</v>
      </c>
      <c r="H130" s="6">
        <v>0</v>
      </c>
      <c r="I130" s="6">
        <v>0</v>
      </c>
      <c r="J130" s="22">
        <v>0</v>
      </c>
      <c r="K130" s="6">
        <v>457</v>
      </c>
      <c r="L130" s="17">
        <v>0.45</v>
      </c>
      <c r="M130" s="6">
        <v>450.23111111111115</v>
      </c>
      <c r="N130" s="17">
        <v>0.7</v>
      </c>
      <c r="O130" s="6">
        <v>643.1873015873017</v>
      </c>
      <c r="P130" s="6">
        <v>0</v>
      </c>
    </row>
    <row r="131" spans="2:16" ht="18" customHeight="1" x14ac:dyDescent="0.25">
      <c r="B131" t="s">
        <v>67</v>
      </c>
      <c r="C131" t="s">
        <v>84</v>
      </c>
      <c r="D131" t="s">
        <v>156</v>
      </c>
      <c r="E131" s="11" t="s">
        <v>104</v>
      </c>
      <c r="F131" s="20">
        <v>2.4700000000000002</v>
      </c>
      <c r="G131" s="6">
        <v>131</v>
      </c>
      <c r="H131" s="6">
        <v>0</v>
      </c>
      <c r="I131" s="6">
        <v>0</v>
      </c>
      <c r="J131" s="22">
        <v>0</v>
      </c>
      <c r="K131" s="6">
        <v>131</v>
      </c>
      <c r="L131" s="17">
        <v>0.55000000000000004</v>
      </c>
      <c r="M131" s="6">
        <v>587.06960000000004</v>
      </c>
      <c r="N131" s="17">
        <v>0.72</v>
      </c>
      <c r="O131" s="6">
        <v>815.37444444444452</v>
      </c>
      <c r="P131" s="6">
        <v>0</v>
      </c>
    </row>
    <row r="132" spans="2:16" ht="18" customHeight="1" x14ac:dyDescent="0.25">
      <c r="B132" t="s">
        <v>67</v>
      </c>
      <c r="C132" t="s">
        <v>84</v>
      </c>
      <c r="D132" t="s">
        <v>156</v>
      </c>
      <c r="E132" s="11" t="s">
        <v>106</v>
      </c>
      <c r="F132" s="20">
        <v>2.4700000000000002</v>
      </c>
      <c r="G132" s="6">
        <v>2840</v>
      </c>
      <c r="H132" s="6">
        <v>0</v>
      </c>
      <c r="I132" s="6">
        <v>0</v>
      </c>
      <c r="J132" s="22">
        <v>0</v>
      </c>
      <c r="K132" s="6">
        <v>2840</v>
      </c>
      <c r="L132" s="17">
        <v>0.65</v>
      </c>
      <c r="M132" s="6">
        <v>10793.048799999999</v>
      </c>
      <c r="N132" s="17">
        <v>0.72</v>
      </c>
      <c r="O132" s="6">
        <v>14990.345555555554</v>
      </c>
      <c r="P132" s="6">
        <v>0</v>
      </c>
    </row>
    <row r="133" spans="2:16" ht="18" customHeight="1" x14ac:dyDescent="0.25">
      <c r="B133" t="s">
        <v>67</v>
      </c>
      <c r="C133" t="s">
        <v>84</v>
      </c>
      <c r="D133" t="s">
        <v>195</v>
      </c>
      <c r="E133" s="11" t="s">
        <v>104</v>
      </c>
      <c r="F133" s="20">
        <v>2.3565162907268173</v>
      </c>
      <c r="G133" s="6">
        <v>1281</v>
      </c>
      <c r="H133" s="6">
        <v>0</v>
      </c>
      <c r="I133" s="6">
        <v>0</v>
      </c>
      <c r="J133" s="22">
        <v>0</v>
      </c>
      <c r="K133" s="6">
        <v>1281</v>
      </c>
      <c r="L133" s="17">
        <v>0.55000000000000004</v>
      </c>
      <c r="M133" s="6">
        <v>2194.6964593301441</v>
      </c>
      <c r="N133" s="17">
        <v>0.7</v>
      </c>
      <c r="O133" s="6">
        <v>3135.2806561859202</v>
      </c>
      <c r="P133" s="6">
        <v>0</v>
      </c>
    </row>
    <row r="134" spans="2:16" ht="18" customHeight="1" x14ac:dyDescent="0.25">
      <c r="B134" t="s">
        <v>67</v>
      </c>
      <c r="C134" t="s">
        <v>84</v>
      </c>
      <c r="D134" t="s">
        <v>195</v>
      </c>
      <c r="E134" s="11" t="s">
        <v>106</v>
      </c>
      <c r="F134" s="20">
        <v>2.3565162907268173</v>
      </c>
      <c r="G134" s="6">
        <v>315</v>
      </c>
      <c r="H134" s="6">
        <v>0</v>
      </c>
      <c r="I134" s="6">
        <v>0</v>
      </c>
      <c r="J134" s="22">
        <v>0</v>
      </c>
      <c r="K134" s="6">
        <v>315</v>
      </c>
      <c r="L134" s="17">
        <v>0.65</v>
      </c>
      <c r="M134" s="6">
        <v>457.41068825910935</v>
      </c>
      <c r="N134" s="17">
        <v>0.7</v>
      </c>
      <c r="O134" s="6">
        <v>653.44384037015629</v>
      </c>
      <c r="P134" s="6">
        <v>0</v>
      </c>
    </row>
    <row r="135" spans="2:16" ht="18" customHeight="1" x14ac:dyDescent="0.25">
      <c r="B135" t="s">
        <v>67</v>
      </c>
      <c r="C135" t="s">
        <v>84</v>
      </c>
      <c r="D135" t="s">
        <v>196</v>
      </c>
      <c r="E135" s="11" t="s">
        <v>106</v>
      </c>
      <c r="F135" s="20">
        <v>2.6421170118097765</v>
      </c>
      <c r="G135" s="6">
        <v>66301</v>
      </c>
      <c r="H135" s="6">
        <v>0</v>
      </c>
      <c r="I135" s="6">
        <v>0</v>
      </c>
      <c r="J135" s="22">
        <v>0</v>
      </c>
      <c r="K135" s="6">
        <v>66301</v>
      </c>
      <c r="L135" s="17">
        <v>0.88</v>
      </c>
      <c r="M135" s="6">
        <v>200436</v>
      </c>
      <c r="N135" s="17">
        <v>0.87</v>
      </c>
      <c r="O135" s="6">
        <v>231683</v>
      </c>
      <c r="P135" s="6">
        <v>0</v>
      </c>
    </row>
    <row r="136" spans="2:16" ht="18" customHeight="1" x14ac:dyDescent="0.25">
      <c r="B136" t="s">
        <v>67</v>
      </c>
      <c r="C136" t="s">
        <v>84</v>
      </c>
      <c r="D136" t="s">
        <v>157</v>
      </c>
      <c r="E136" s="11" t="s">
        <v>104</v>
      </c>
      <c r="F136" s="20">
        <v>2.4300000000000002</v>
      </c>
      <c r="G136" s="6">
        <v>345</v>
      </c>
      <c r="H136" s="6">
        <v>0</v>
      </c>
      <c r="I136" s="6">
        <v>0</v>
      </c>
      <c r="J136" s="22">
        <v>0</v>
      </c>
      <c r="K136" s="6">
        <v>345</v>
      </c>
      <c r="L136" s="17">
        <v>0.55000000000000004</v>
      </c>
      <c r="M136" s="6">
        <v>1524.7145454545455</v>
      </c>
      <c r="N136" s="17">
        <v>0.75</v>
      </c>
      <c r="O136" s="6">
        <v>2032.9527272727273</v>
      </c>
      <c r="P136" s="6">
        <v>0</v>
      </c>
    </row>
    <row r="137" spans="2:16" ht="18" customHeight="1" x14ac:dyDescent="0.25">
      <c r="B137" t="s">
        <v>67</v>
      </c>
      <c r="C137" t="s">
        <v>84</v>
      </c>
      <c r="D137" t="s">
        <v>157</v>
      </c>
      <c r="E137" s="11" t="s">
        <v>106</v>
      </c>
      <c r="F137" s="20">
        <v>2.4300000000000002</v>
      </c>
      <c r="G137" s="6">
        <v>61</v>
      </c>
      <c r="H137" s="6">
        <v>0</v>
      </c>
      <c r="I137" s="6">
        <v>0</v>
      </c>
      <c r="J137" s="22">
        <v>0</v>
      </c>
      <c r="K137" s="6">
        <v>61</v>
      </c>
      <c r="L137" s="17">
        <v>0.65</v>
      </c>
      <c r="M137" s="6">
        <v>227.67230769230767</v>
      </c>
      <c r="N137" s="17">
        <v>0.75</v>
      </c>
      <c r="O137" s="6">
        <v>303.56307692307689</v>
      </c>
      <c r="P137" s="6">
        <v>0</v>
      </c>
    </row>
    <row r="138" spans="2:16" ht="18" customHeight="1" x14ac:dyDescent="0.25">
      <c r="B138" t="s">
        <v>67</v>
      </c>
      <c r="C138" t="s">
        <v>84</v>
      </c>
      <c r="D138" t="s">
        <v>158</v>
      </c>
      <c r="E138" s="11" t="s">
        <v>122</v>
      </c>
      <c r="F138" s="20">
        <v>2.4617620108964835</v>
      </c>
      <c r="G138" s="6">
        <v>266</v>
      </c>
      <c r="H138" s="6">
        <v>0</v>
      </c>
      <c r="I138" s="6">
        <v>0</v>
      </c>
      <c r="J138" s="22">
        <v>0</v>
      </c>
      <c r="K138" s="6">
        <v>266</v>
      </c>
      <c r="L138" s="17">
        <v>0.85</v>
      </c>
      <c r="M138" s="6">
        <v>771.50173326195261</v>
      </c>
      <c r="N138" s="17">
        <v>0.7</v>
      </c>
      <c r="O138" s="6">
        <v>1102.1453332313608</v>
      </c>
      <c r="P138" s="6">
        <v>0</v>
      </c>
    </row>
    <row r="139" spans="2:16" ht="18" customHeight="1" x14ac:dyDescent="0.25">
      <c r="B139" t="s">
        <v>67</v>
      </c>
      <c r="C139" t="s">
        <v>84</v>
      </c>
      <c r="D139" t="s">
        <v>158</v>
      </c>
      <c r="E139" s="11" t="s">
        <v>104</v>
      </c>
      <c r="F139" s="20">
        <v>2.4617620108964835</v>
      </c>
      <c r="G139" s="6">
        <v>6257</v>
      </c>
      <c r="H139" s="6">
        <v>0</v>
      </c>
      <c r="I139" s="6">
        <v>0</v>
      </c>
      <c r="J139" s="22">
        <v>0</v>
      </c>
      <c r="K139" s="6">
        <v>6257</v>
      </c>
      <c r="L139" s="17">
        <v>0.55000000000000004</v>
      </c>
      <c r="M139" s="6">
        <v>28005.872966558592</v>
      </c>
      <c r="N139" s="17">
        <v>0.7</v>
      </c>
      <c r="O139" s="6">
        <v>40008.389952226564</v>
      </c>
      <c r="P139" s="6">
        <v>0</v>
      </c>
    </row>
    <row r="140" spans="2:16" ht="18" customHeight="1" x14ac:dyDescent="0.25">
      <c r="B140" t="s">
        <v>67</v>
      </c>
      <c r="C140" t="s">
        <v>84</v>
      </c>
      <c r="D140" t="s">
        <v>158</v>
      </c>
      <c r="E140" s="11" t="s">
        <v>106</v>
      </c>
      <c r="F140" s="20">
        <v>2.4617620108964835</v>
      </c>
      <c r="G140" s="29">
        <v>1550</v>
      </c>
      <c r="H140" s="30">
        <v>0</v>
      </c>
      <c r="I140" s="30">
        <v>0</v>
      </c>
      <c r="J140" s="31">
        <v>0</v>
      </c>
      <c r="K140" s="30">
        <v>1550</v>
      </c>
      <c r="L140" s="32">
        <v>0.65</v>
      </c>
      <c r="M140" s="30">
        <v>5871.6318933649563</v>
      </c>
      <c r="N140" s="32">
        <v>0.7</v>
      </c>
      <c r="O140" s="30">
        <v>8388.0455619499389</v>
      </c>
      <c r="P140" s="30">
        <v>0</v>
      </c>
    </row>
    <row r="141" spans="2:16" ht="18" customHeight="1" thickBot="1" x14ac:dyDescent="0.3">
      <c r="B141" s="35"/>
      <c r="C141" s="35"/>
      <c r="D141" s="35"/>
      <c r="E141" s="36"/>
      <c r="F141" s="37" t="s">
        <v>42</v>
      </c>
      <c r="G141" s="38">
        <v>84374</v>
      </c>
      <c r="H141" s="38">
        <v>0</v>
      </c>
      <c r="I141" s="38">
        <v>0</v>
      </c>
      <c r="J141" s="39">
        <v>0</v>
      </c>
      <c r="K141" s="38">
        <v>84374</v>
      </c>
      <c r="L141" s="40"/>
      <c r="M141" s="38">
        <v>269949.49665048724</v>
      </c>
      <c r="N141" s="40"/>
      <c r="O141" s="38">
        <v>330369.50922896777</v>
      </c>
      <c r="P141" s="38">
        <v>0</v>
      </c>
    </row>
    <row r="142" spans="2:16" ht="18" customHeight="1" thickTop="1" x14ac:dyDescent="0.25">
      <c r="B142" t="s">
        <v>68</v>
      </c>
      <c r="C142" t="s">
        <v>79</v>
      </c>
      <c r="D142" t="s">
        <v>113</v>
      </c>
      <c r="E142" s="11" t="s">
        <v>106</v>
      </c>
      <c r="F142" s="20">
        <v>1.9683333333333335</v>
      </c>
      <c r="G142" s="6">
        <v>668</v>
      </c>
      <c r="H142" s="6">
        <v>0</v>
      </c>
      <c r="I142" s="6">
        <v>0</v>
      </c>
      <c r="J142" s="22">
        <v>0</v>
      </c>
      <c r="K142" s="6">
        <v>668</v>
      </c>
      <c r="L142" s="17">
        <v>0.65</v>
      </c>
      <c r="M142" s="6">
        <v>2022.8410256410257</v>
      </c>
      <c r="N142" s="17">
        <v>0.7</v>
      </c>
      <c r="O142" s="6">
        <v>2889.7728937728939</v>
      </c>
      <c r="P142" s="6">
        <v>0</v>
      </c>
    </row>
    <row r="143" spans="2:16" ht="18" customHeight="1" x14ac:dyDescent="0.25">
      <c r="B143" t="s">
        <v>68</v>
      </c>
      <c r="C143" t="s">
        <v>79</v>
      </c>
      <c r="D143" t="s">
        <v>159</v>
      </c>
      <c r="E143" s="11" t="s">
        <v>104</v>
      </c>
      <c r="F143" s="20">
        <v>1.7354541666666667</v>
      </c>
      <c r="G143" s="6">
        <v>2324</v>
      </c>
      <c r="H143" s="6">
        <v>0</v>
      </c>
      <c r="I143" s="6">
        <v>0</v>
      </c>
      <c r="J143" s="22">
        <v>0</v>
      </c>
      <c r="K143" s="6">
        <v>2324</v>
      </c>
      <c r="L143" s="17">
        <v>0.45</v>
      </c>
      <c r="M143" s="6">
        <v>8962.6566296296296</v>
      </c>
      <c r="N143" s="17">
        <v>0.7</v>
      </c>
      <c r="O143" s="6">
        <v>12803.795185185187</v>
      </c>
      <c r="P143" s="6">
        <v>0</v>
      </c>
    </row>
    <row r="144" spans="2:16" ht="18" customHeight="1" x14ac:dyDescent="0.25">
      <c r="B144" t="s">
        <v>68</v>
      </c>
      <c r="C144" t="s">
        <v>81</v>
      </c>
      <c r="D144" t="s">
        <v>118</v>
      </c>
      <c r="E144" s="11" t="s">
        <v>104</v>
      </c>
      <c r="F144" s="20">
        <v>1.8816166666666667</v>
      </c>
      <c r="G144" s="6">
        <v>2516</v>
      </c>
      <c r="H144" s="6">
        <v>0</v>
      </c>
      <c r="I144" s="6">
        <v>0</v>
      </c>
      <c r="J144" s="22">
        <v>0</v>
      </c>
      <c r="K144" s="6">
        <v>2516</v>
      </c>
      <c r="L144" s="17">
        <v>0.5</v>
      </c>
      <c r="M144" s="6">
        <v>9468.2950666666675</v>
      </c>
      <c r="N144" s="17">
        <v>0.6</v>
      </c>
      <c r="O144" s="6">
        <v>15780.491777777779</v>
      </c>
      <c r="P144" s="6">
        <v>0</v>
      </c>
    </row>
    <row r="145" spans="2:16" ht="18" customHeight="1" x14ac:dyDescent="0.25">
      <c r="B145" t="s">
        <v>68</v>
      </c>
      <c r="C145" t="s">
        <v>81</v>
      </c>
      <c r="D145" t="s">
        <v>160</v>
      </c>
      <c r="E145" s="11" t="s">
        <v>104</v>
      </c>
      <c r="F145" s="20">
        <v>1.6525499999999997</v>
      </c>
      <c r="G145" s="6">
        <v>333</v>
      </c>
      <c r="H145" s="6">
        <v>0</v>
      </c>
      <c r="I145" s="6">
        <v>0</v>
      </c>
      <c r="J145" s="22">
        <v>0</v>
      </c>
      <c r="K145" s="6">
        <v>333</v>
      </c>
      <c r="L145" s="17">
        <v>0.5</v>
      </c>
      <c r="M145" s="6">
        <v>1100.5982999999999</v>
      </c>
      <c r="N145" s="17">
        <v>0.6</v>
      </c>
      <c r="O145" s="6">
        <v>1834.3304999999998</v>
      </c>
      <c r="P145" s="6">
        <v>0</v>
      </c>
    </row>
    <row r="146" spans="2:16" ht="18" customHeight="1" x14ac:dyDescent="0.25">
      <c r="B146" t="s">
        <v>68</v>
      </c>
      <c r="C146" t="s">
        <v>81</v>
      </c>
      <c r="D146" t="s">
        <v>160</v>
      </c>
      <c r="E146" s="11" t="s">
        <v>106</v>
      </c>
      <c r="F146" s="20">
        <v>1.4857608333333332</v>
      </c>
      <c r="G146" s="29">
        <v>714</v>
      </c>
      <c r="H146" s="30">
        <v>0</v>
      </c>
      <c r="I146" s="30">
        <v>0</v>
      </c>
      <c r="J146" s="31">
        <v>0</v>
      </c>
      <c r="K146" s="30">
        <v>714</v>
      </c>
      <c r="L146" s="32">
        <v>0.65</v>
      </c>
      <c r="M146" s="30">
        <v>1632.0511307692304</v>
      </c>
      <c r="N146" s="32">
        <v>0.6</v>
      </c>
      <c r="O146" s="30">
        <v>2720.0852179487174</v>
      </c>
      <c r="P146" s="30">
        <v>0</v>
      </c>
    </row>
    <row r="147" spans="2:16" ht="18" customHeight="1" thickBot="1" x14ac:dyDescent="0.3">
      <c r="B147" s="35"/>
      <c r="C147" s="35"/>
      <c r="D147" s="35"/>
      <c r="E147" s="36"/>
      <c r="F147" s="37" t="s">
        <v>42</v>
      </c>
      <c r="G147" s="38">
        <v>6555</v>
      </c>
      <c r="H147" s="38">
        <v>0</v>
      </c>
      <c r="I147" s="38">
        <v>0</v>
      </c>
      <c r="J147" s="39">
        <v>0</v>
      </c>
      <c r="K147" s="38">
        <v>6555</v>
      </c>
      <c r="L147" s="40"/>
      <c r="M147" s="38">
        <v>23186.442152706557</v>
      </c>
      <c r="N147" s="40"/>
      <c r="O147" s="38">
        <v>36028.475574684577</v>
      </c>
      <c r="P147" s="38">
        <v>0</v>
      </c>
    </row>
    <row r="148" spans="2:16" ht="18" customHeight="1" thickTop="1" x14ac:dyDescent="0.25">
      <c r="B148" t="s">
        <v>69</v>
      </c>
      <c r="C148" t="s">
        <v>82</v>
      </c>
      <c r="D148" t="s">
        <v>161</v>
      </c>
      <c r="E148" s="11" t="s">
        <v>106</v>
      </c>
      <c r="F148" s="20">
        <v>1.4441850000000001</v>
      </c>
      <c r="G148" s="6">
        <v>0</v>
      </c>
      <c r="H148" s="6">
        <v>7499</v>
      </c>
      <c r="I148" s="6">
        <v>0</v>
      </c>
      <c r="J148" s="22">
        <v>0</v>
      </c>
      <c r="K148" s="6">
        <v>7499</v>
      </c>
      <c r="L148" s="17">
        <v>0.65</v>
      </c>
      <c r="M148" s="6">
        <v>0</v>
      </c>
      <c r="N148" s="17" t="s">
        <v>107</v>
      </c>
      <c r="O148" s="6">
        <v>0</v>
      </c>
      <c r="P148" s="6">
        <v>16661.451253846153</v>
      </c>
    </row>
    <row r="149" spans="2:16" ht="18" customHeight="1" x14ac:dyDescent="0.25">
      <c r="B149" t="s">
        <v>69</v>
      </c>
      <c r="C149" t="s">
        <v>82</v>
      </c>
      <c r="D149" t="s">
        <v>162</v>
      </c>
      <c r="E149" s="11" t="s">
        <v>104</v>
      </c>
      <c r="F149" s="20">
        <v>2.0174966666666667</v>
      </c>
      <c r="G149" s="6">
        <v>495.47826086956519</v>
      </c>
      <c r="H149" s="6">
        <v>0</v>
      </c>
      <c r="I149" s="6">
        <v>53.565217391304351</v>
      </c>
      <c r="J149" s="22">
        <v>22.956521739130434</v>
      </c>
      <c r="K149" s="6">
        <v>572</v>
      </c>
      <c r="L149" s="17">
        <v>0.55000000000000004</v>
      </c>
      <c r="M149" s="6">
        <v>2013.9879768115939</v>
      </c>
      <c r="N149" s="17">
        <v>0.75</v>
      </c>
      <c r="O149" s="6">
        <v>2685.3173024154585</v>
      </c>
      <c r="P149" s="6">
        <v>84.208556521739126</v>
      </c>
    </row>
    <row r="150" spans="2:16" ht="18" customHeight="1" x14ac:dyDescent="0.25">
      <c r="B150" t="s">
        <v>69</v>
      </c>
      <c r="C150" t="s">
        <v>82</v>
      </c>
      <c r="D150" t="s">
        <v>147</v>
      </c>
      <c r="E150" s="11" t="s">
        <v>104</v>
      </c>
      <c r="F150" s="20">
        <v>1.9862533333333332</v>
      </c>
      <c r="G150" s="6">
        <v>412</v>
      </c>
      <c r="H150" s="6">
        <v>0</v>
      </c>
      <c r="I150" s="6">
        <v>0</v>
      </c>
      <c r="J150" s="22">
        <v>0</v>
      </c>
      <c r="K150" s="6">
        <v>412</v>
      </c>
      <c r="L150" s="17">
        <v>0.55000000000000004</v>
      </c>
      <c r="M150" s="6">
        <v>1487.884315151515</v>
      </c>
      <c r="N150" s="17">
        <v>0.7</v>
      </c>
      <c r="O150" s="6">
        <v>2125.5490216450216</v>
      </c>
      <c r="P150" s="6">
        <v>0</v>
      </c>
    </row>
    <row r="151" spans="2:16" ht="18" customHeight="1" x14ac:dyDescent="0.25">
      <c r="B151" t="s">
        <v>69</v>
      </c>
      <c r="C151" t="s">
        <v>82</v>
      </c>
      <c r="D151" t="s">
        <v>163</v>
      </c>
      <c r="E151" s="11" t="s">
        <v>104</v>
      </c>
      <c r="F151" s="20">
        <v>1.8552666666666664</v>
      </c>
      <c r="G151" s="6">
        <v>169.37142857142857</v>
      </c>
      <c r="H151" s="6">
        <v>0</v>
      </c>
      <c r="I151" s="6">
        <v>38.814285714285717</v>
      </c>
      <c r="J151" s="22">
        <v>38.814285714285717</v>
      </c>
      <c r="K151" s="6">
        <v>247</v>
      </c>
      <c r="L151" s="17">
        <v>0.5</v>
      </c>
      <c r="M151" s="6">
        <v>772.48003238095225</v>
      </c>
      <c r="N151" s="17">
        <v>0.7</v>
      </c>
      <c r="O151" s="6">
        <v>1103.5429034013605</v>
      </c>
      <c r="P151" s="6">
        <v>144.02170095238094</v>
      </c>
    </row>
    <row r="152" spans="2:16" ht="18" customHeight="1" x14ac:dyDescent="0.25">
      <c r="B152" t="s">
        <v>69</v>
      </c>
      <c r="C152" t="s">
        <v>82</v>
      </c>
      <c r="D152" t="s">
        <v>163</v>
      </c>
      <c r="E152" s="11" t="s">
        <v>106</v>
      </c>
      <c r="F152" s="20">
        <v>1.9000000000000001</v>
      </c>
      <c r="G152" s="29">
        <v>0</v>
      </c>
      <c r="H152" s="30">
        <v>68</v>
      </c>
      <c r="I152" s="30">
        <v>0</v>
      </c>
      <c r="J152" s="31">
        <v>0</v>
      </c>
      <c r="K152" s="30">
        <v>68</v>
      </c>
      <c r="L152" s="32">
        <v>0.65</v>
      </c>
      <c r="M152" s="30">
        <v>0</v>
      </c>
      <c r="N152" s="32" t="s">
        <v>107</v>
      </c>
      <c r="O152" s="30">
        <v>0</v>
      </c>
      <c r="P152" s="30">
        <v>198.7692307692308</v>
      </c>
    </row>
    <row r="153" spans="2:16" ht="18" customHeight="1" thickBot="1" x14ac:dyDescent="0.3">
      <c r="B153" s="35"/>
      <c r="C153" s="35"/>
      <c r="D153" s="35"/>
      <c r="E153" s="36"/>
      <c r="F153" s="37" t="s">
        <v>42</v>
      </c>
      <c r="G153" s="38">
        <v>1076.8496894409939</v>
      </c>
      <c r="H153" s="38">
        <v>7567</v>
      </c>
      <c r="I153" s="38">
        <v>92.379503105590061</v>
      </c>
      <c r="J153" s="39">
        <v>61.770807453416154</v>
      </c>
      <c r="K153" s="38">
        <v>8798</v>
      </c>
      <c r="L153" s="40"/>
      <c r="M153" s="38">
        <v>4274.3523243440613</v>
      </c>
      <c r="N153" s="40"/>
      <c r="O153" s="38">
        <v>5914.4092274618406</v>
      </c>
      <c r="P153" s="38">
        <v>17088.450742089502</v>
      </c>
    </row>
    <row r="154" spans="2:16" ht="18" customHeight="1" thickTop="1" x14ac:dyDescent="0.25">
      <c r="B154" t="s">
        <v>70</v>
      </c>
      <c r="C154" t="s">
        <v>82</v>
      </c>
      <c r="D154" t="s">
        <v>164</v>
      </c>
      <c r="E154" s="11" t="s">
        <v>104</v>
      </c>
      <c r="F154" s="20">
        <v>3.1835416666666667</v>
      </c>
      <c r="G154" s="6">
        <v>130.63829787234042</v>
      </c>
      <c r="H154" s="6">
        <v>89.269503546099287</v>
      </c>
      <c r="I154" s="6">
        <v>65.319148936170208</v>
      </c>
      <c r="J154" s="22">
        <v>21.773049645390071</v>
      </c>
      <c r="K154" s="6">
        <v>307</v>
      </c>
      <c r="L154" s="17">
        <v>0.6</v>
      </c>
      <c r="M154" s="6">
        <v>1039.7311613475176</v>
      </c>
      <c r="N154" s="17">
        <v>0.7</v>
      </c>
      <c r="O154" s="6">
        <v>1485.3302304964539</v>
      </c>
      <c r="P154" s="6">
        <v>589.18099143026006</v>
      </c>
    </row>
    <row r="155" spans="2:16" ht="18" customHeight="1" x14ac:dyDescent="0.25">
      <c r="B155" t="s">
        <v>70</v>
      </c>
      <c r="C155" t="s">
        <v>82</v>
      </c>
      <c r="D155" t="s">
        <v>186</v>
      </c>
      <c r="E155" s="11" t="s">
        <v>104</v>
      </c>
      <c r="F155" s="20">
        <v>2.252836666666667</v>
      </c>
      <c r="G155" s="6">
        <v>0</v>
      </c>
      <c r="H155" s="6">
        <v>0</v>
      </c>
      <c r="I155" s="6">
        <v>918.16508465382981</v>
      </c>
      <c r="J155" s="22">
        <v>2189.83491534617</v>
      </c>
      <c r="K155" s="6">
        <v>3108</v>
      </c>
      <c r="L155" s="17">
        <v>0.6</v>
      </c>
      <c r="M155" s="6">
        <v>3076.3980603109449</v>
      </c>
      <c r="N155" s="17">
        <v>0.46187433117289561</v>
      </c>
      <c r="O155" s="6">
        <v>6660.6820355196187</v>
      </c>
      <c r="P155" s="6">
        <v>7337.2468617798468</v>
      </c>
    </row>
    <row r="156" spans="2:16" ht="18" customHeight="1" x14ac:dyDescent="0.25">
      <c r="B156" t="s">
        <v>70</v>
      </c>
      <c r="C156" t="s">
        <v>82</v>
      </c>
      <c r="D156" t="s">
        <v>165</v>
      </c>
      <c r="E156" s="11" t="s">
        <v>104</v>
      </c>
      <c r="F156" s="20">
        <v>1.6076733333333333</v>
      </c>
      <c r="G156" s="6">
        <v>0</v>
      </c>
      <c r="H156" s="6">
        <v>749</v>
      </c>
      <c r="I156" s="6">
        <v>0</v>
      </c>
      <c r="J156" s="22">
        <v>0</v>
      </c>
      <c r="K156" s="6">
        <v>749</v>
      </c>
      <c r="L156" s="17">
        <v>0.55000000000000004</v>
      </c>
      <c r="M156" s="6">
        <v>0</v>
      </c>
      <c r="N156" s="17" t="s">
        <v>107</v>
      </c>
      <c r="O156" s="6">
        <v>0</v>
      </c>
      <c r="P156" s="6">
        <v>2189.3587757575756</v>
      </c>
    </row>
    <row r="157" spans="2:16" ht="18" customHeight="1" x14ac:dyDescent="0.25">
      <c r="B157" t="s">
        <v>70</v>
      </c>
      <c r="C157" t="s">
        <v>82</v>
      </c>
      <c r="D157" t="s">
        <v>166</v>
      </c>
      <c r="E157" s="11" t="s">
        <v>104</v>
      </c>
      <c r="F157" s="20">
        <v>3.39</v>
      </c>
      <c r="G157" s="6">
        <v>0</v>
      </c>
      <c r="H157" s="6">
        <v>28</v>
      </c>
      <c r="I157" s="6">
        <v>42</v>
      </c>
      <c r="J157" s="22">
        <v>14</v>
      </c>
      <c r="K157" s="6">
        <v>84</v>
      </c>
      <c r="L157" s="17">
        <v>0.55000000000000004</v>
      </c>
      <c r="M157" s="6">
        <v>258.87272727272722</v>
      </c>
      <c r="N157" s="17">
        <v>0.7</v>
      </c>
      <c r="O157" s="6">
        <v>369.81818181818176</v>
      </c>
      <c r="P157" s="6">
        <v>258.87272727272722</v>
      </c>
    </row>
    <row r="158" spans="2:16" ht="18" customHeight="1" x14ac:dyDescent="0.25">
      <c r="B158" t="s">
        <v>70</v>
      </c>
      <c r="C158" t="s">
        <v>82</v>
      </c>
      <c r="D158" t="s">
        <v>123</v>
      </c>
      <c r="E158" s="11" t="s">
        <v>104</v>
      </c>
      <c r="F158" s="20">
        <v>2.7424999999999997</v>
      </c>
      <c r="G158" s="6">
        <v>0</v>
      </c>
      <c r="H158" s="6">
        <v>94</v>
      </c>
      <c r="I158" s="6">
        <v>0</v>
      </c>
      <c r="J158" s="22">
        <v>0</v>
      </c>
      <c r="K158" s="6">
        <v>94</v>
      </c>
      <c r="L158" s="17">
        <v>0.6</v>
      </c>
      <c r="M158" s="6">
        <v>0</v>
      </c>
      <c r="N158" s="17" t="s">
        <v>107</v>
      </c>
      <c r="O158" s="6">
        <v>0</v>
      </c>
      <c r="P158" s="6">
        <v>429.6583333333333</v>
      </c>
    </row>
    <row r="159" spans="2:16" ht="18" customHeight="1" x14ac:dyDescent="0.25">
      <c r="B159" t="s">
        <v>70</v>
      </c>
      <c r="C159" t="s">
        <v>82</v>
      </c>
      <c r="D159" t="s">
        <v>167</v>
      </c>
      <c r="E159" s="11" t="s">
        <v>104</v>
      </c>
      <c r="F159" s="20">
        <v>1.3086341666666668</v>
      </c>
      <c r="G159" s="29">
        <v>0</v>
      </c>
      <c r="H159" s="30">
        <v>113</v>
      </c>
      <c r="I159" s="30">
        <v>174</v>
      </c>
      <c r="J159" s="31">
        <v>58</v>
      </c>
      <c r="K159" s="30">
        <v>345</v>
      </c>
      <c r="L159" s="32">
        <v>0.6</v>
      </c>
      <c r="M159" s="30">
        <v>379.50390833333336</v>
      </c>
      <c r="N159" s="32">
        <v>0.7</v>
      </c>
      <c r="O159" s="30">
        <v>542.14844047619056</v>
      </c>
      <c r="P159" s="30">
        <v>372.96073750000005</v>
      </c>
    </row>
    <row r="160" spans="2:16" ht="18" customHeight="1" thickBot="1" x14ac:dyDescent="0.3">
      <c r="B160" s="35"/>
      <c r="C160" s="35"/>
      <c r="D160" s="35"/>
      <c r="E160" s="36"/>
      <c r="F160" s="37" t="s">
        <v>42</v>
      </c>
      <c r="G160" s="38">
        <v>130.63829787234042</v>
      </c>
      <c r="H160" s="38">
        <v>1073.2695035460993</v>
      </c>
      <c r="I160" s="38">
        <v>1199.48423359</v>
      </c>
      <c r="J160" s="39">
        <v>2283.60796499156</v>
      </c>
      <c r="K160" s="38">
        <v>4687</v>
      </c>
      <c r="L160" s="40"/>
      <c r="M160" s="38">
        <v>4754.505857264523</v>
      </c>
      <c r="N160" s="40"/>
      <c r="O160" s="38">
        <v>9057.9788883104447</v>
      </c>
      <c r="P160" s="38">
        <v>11177.278427073741</v>
      </c>
    </row>
    <row r="161" spans="2:16" ht="18" customHeight="1" thickTop="1" x14ac:dyDescent="0.25">
      <c r="B161" t="s">
        <v>71</v>
      </c>
      <c r="C161" t="s">
        <v>82</v>
      </c>
      <c r="D161" t="s">
        <v>168</v>
      </c>
      <c r="E161" s="11" t="s">
        <v>104</v>
      </c>
      <c r="F161" s="20">
        <v>2.6634799999999998</v>
      </c>
      <c r="G161" s="6">
        <v>1024</v>
      </c>
      <c r="H161" s="6">
        <v>0</v>
      </c>
      <c r="I161" s="6">
        <v>0</v>
      </c>
      <c r="J161" s="22">
        <v>0</v>
      </c>
      <c r="K161" s="6">
        <v>1024</v>
      </c>
      <c r="L161" s="17">
        <v>0.55000000000000004</v>
      </c>
      <c r="M161" s="6">
        <v>4958.9154909090903</v>
      </c>
      <c r="N161" s="17">
        <v>0.7</v>
      </c>
      <c r="O161" s="6">
        <v>7084.1649870129868</v>
      </c>
      <c r="P161" s="6">
        <v>0</v>
      </c>
    </row>
    <row r="162" spans="2:16" ht="18" customHeight="1" x14ac:dyDescent="0.25">
      <c r="B162" t="s">
        <v>71</v>
      </c>
      <c r="C162" t="s">
        <v>82</v>
      </c>
      <c r="D162" t="s">
        <v>169</v>
      </c>
      <c r="E162" s="11" t="s">
        <v>104</v>
      </c>
      <c r="F162" s="20">
        <v>2.8182641666666668</v>
      </c>
      <c r="G162" s="6">
        <v>8.2586206896551726</v>
      </c>
      <c r="H162" s="6">
        <v>11.011494252873563</v>
      </c>
      <c r="I162" s="6">
        <v>275.83793103448278</v>
      </c>
      <c r="J162" s="22">
        <v>183.8919540229885</v>
      </c>
      <c r="K162" s="6">
        <v>479</v>
      </c>
      <c r="L162" s="17">
        <v>0.55000000000000004</v>
      </c>
      <c r="M162" s="6">
        <v>1455.743875632184</v>
      </c>
      <c r="N162" s="17">
        <v>0.7</v>
      </c>
      <c r="O162" s="6">
        <v>2079.6341080459774</v>
      </c>
      <c r="P162" s="6">
        <v>998.70800770114943</v>
      </c>
    </row>
    <row r="163" spans="2:16" ht="18" customHeight="1" x14ac:dyDescent="0.25">
      <c r="B163" t="s">
        <v>71</v>
      </c>
      <c r="C163" t="s">
        <v>82</v>
      </c>
      <c r="D163" t="s">
        <v>179</v>
      </c>
      <c r="E163" s="11" t="s">
        <v>104</v>
      </c>
      <c r="F163" s="20">
        <v>2.5827224999999996</v>
      </c>
      <c r="G163" s="6">
        <v>2996.0377358490564</v>
      </c>
      <c r="H163" s="6">
        <v>0</v>
      </c>
      <c r="I163" s="6">
        <v>7729.7773584905663</v>
      </c>
      <c r="J163" s="22">
        <v>5153.1849056603778</v>
      </c>
      <c r="K163" s="6">
        <v>15879</v>
      </c>
      <c r="L163" s="17">
        <v>0.5</v>
      </c>
      <c r="M163" s="6">
        <v>55345.20588679245</v>
      </c>
      <c r="N163" s="17">
        <v>0.68404840981244253</v>
      </c>
      <c r="O163" s="6">
        <v>80908.317441988373</v>
      </c>
      <c r="P163" s="6">
        <v>26590.43411320755</v>
      </c>
    </row>
    <row r="164" spans="2:16" ht="18" customHeight="1" x14ac:dyDescent="0.25">
      <c r="B164" t="s">
        <v>71</v>
      </c>
      <c r="C164" t="s">
        <v>82</v>
      </c>
      <c r="D164" t="s">
        <v>170</v>
      </c>
      <c r="E164" s="11" t="s">
        <v>106</v>
      </c>
      <c r="F164" s="20">
        <v>1.5475000000000001</v>
      </c>
      <c r="G164" s="29">
        <v>0</v>
      </c>
      <c r="H164" s="30">
        <v>504</v>
      </c>
      <c r="I164" s="30">
        <v>0</v>
      </c>
      <c r="J164" s="31">
        <v>0</v>
      </c>
      <c r="K164" s="30">
        <v>504</v>
      </c>
      <c r="L164" s="32">
        <v>0.65</v>
      </c>
      <c r="M164" s="30">
        <v>0</v>
      </c>
      <c r="N164" s="32" t="s">
        <v>107</v>
      </c>
      <c r="O164" s="30">
        <v>0</v>
      </c>
      <c r="P164" s="30">
        <v>1199.9076923076923</v>
      </c>
    </row>
    <row r="165" spans="2:16" ht="18" customHeight="1" thickBot="1" x14ac:dyDescent="0.3">
      <c r="B165" s="35"/>
      <c r="C165" s="35"/>
      <c r="D165" s="35"/>
      <c r="E165" s="36"/>
      <c r="F165" s="37" t="s">
        <v>42</v>
      </c>
      <c r="G165" s="38">
        <v>4028.2963565387117</v>
      </c>
      <c r="H165" s="38">
        <v>515.0114942528736</v>
      </c>
      <c r="I165" s="38">
        <v>8005.6152895250489</v>
      </c>
      <c r="J165" s="39">
        <v>5337.0768596833659</v>
      </c>
      <c r="K165" s="38">
        <v>17886</v>
      </c>
      <c r="L165" s="40"/>
      <c r="M165" s="38">
        <v>61759.865253333723</v>
      </c>
      <c r="N165" s="40"/>
      <c r="O165" s="38">
        <v>90072.116537047332</v>
      </c>
      <c r="P165" s="38">
        <v>28789.049813216392</v>
      </c>
    </row>
    <row r="166" spans="2:16" ht="18" customHeight="1" thickTop="1" x14ac:dyDescent="0.25">
      <c r="B166" t="s">
        <v>72</v>
      </c>
      <c r="C166" t="s">
        <v>82</v>
      </c>
      <c r="D166" t="s">
        <v>171</v>
      </c>
      <c r="E166" s="11" t="s">
        <v>104</v>
      </c>
      <c r="F166" s="20">
        <v>1.317625</v>
      </c>
      <c r="G166" s="6">
        <v>2297</v>
      </c>
      <c r="H166" s="6">
        <v>0</v>
      </c>
      <c r="I166" s="6">
        <v>0</v>
      </c>
      <c r="J166" s="22">
        <v>0</v>
      </c>
      <c r="K166" s="6">
        <v>2297</v>
      </c>
      <c r="L166" s="17">
        <v>0.5</v>
      </c>
      <c r="M166" s="6">
        <v>6053.1692499999999</v>
      </c>
      <c r="N166" s="17">
        <v>0.6</v>
      </c>
      <c r="O166" s="6">
        <v>10088.615416666667</v>
      </c>
      <c r="P166" s="6">
        <v>0</v>
      </c>
    </row>
    <row r="167" spans="2:16" ht="18" customHeight="1" x14ac:dyDescent="0.25">
      <c r="B167" t="s">
        <v>72</v>
      </c>
      <c r="C167" t="s">
        <v>82</v>
      </c>
      <c r="D167" t="s">
        <v>171</v>
      </c>
      <c r="E167" s="11" t="s">
        <v>106</v>
      </c>
      <c r="F167" s="20">
        <v>1.3125</v>
      </c>
      <c r="G167" s="6">
        <v>0</v>
      </c>
      <c r="H167" s="6">
        <v>1705</v>
      </c>
      <c r="I167" s="6">
        <v>0</v>
      </c>
      <c r="J167" s="22">
        <v>0</v>
      </c>
      <c r="K167" s="6">
        <v>1705</v>
      </c>
      <c r="L167" s="17">
        <v>0.65</v>
      </c>
      <c r="M167" s="6">
        <v>0</v>
      </c>
      <c r="N167" s="17" t="s">
        <v>107</v>
      </c>
      <c r="O167" s="6">
        <v>0</v>
      </c>
      <c r="P167" s="6">
        <v>3442.7884615384614</v>
      </c>
    </row>
    <row r="168" spans="2:16" ht="18" customHeight="1" x14ac:dyDescent="0.25">
      <c r="B168" t="s">
        <v>72</v>
      </c>
      <c r="C168" t="s">
        <v>82</v>
      </c>
      <c r="D168" t="s">
        <v>172</v>
      </c>
      <c r="E168" s="11" t="s">
        <v>104</v>
      </c>
      <c r="F168" s="20">
        <v>1.9440600000000001</v>
      </c>
      <c r="G168" s="6">
        <v>3638</v>
      </c>
      <c r="H168" s="6">
        <v>0</v>
      </c>
      <c r="I168" s="6">
        <v>0</v>
      </c>
      <c r="J168" s="22">
        <v>0</v>
      </c>
      <c r="K168" s="6">
        <v>3638</v>
      </c>
      <c r="L168" s="17">
        <v>0.5</v>
      </c>
      <c r="M168" s="6">
        <v>14144.980560000002</v>
      </c>
      <c r="N168" s="17">
        <v>0.7</v>
      </c>
      <c r="O168" s="6">
        <v>20207.115085714289</v>
      </c>
      <c r="P168" s="6">
        <v>0</v>
      </c>
    </row>
    <row r="169" spans="2:16" ht="18" customHeight="1" x14ac:dyDescent="0.25">
      <c r="B169" t="s">
        <v>72</v>
      </c>
      <c r="C169" t="s">
        <v>82</v>
      </c>
      <c r="D169" t="s">
        <v>173</v>
      </c>
      <c r="E169" s="11" t="s">
        <v>104</v>
      </c>
      <c r="F169" s="20">
        <v>2.0437300000000005</v>
      </c>
      <c r="G169" s="6">
        <v>35</v>
      </c>
      <c r="H169" s="6">
        <v>0</v>
      </c>
      <c r="I169" s="6">
        <v>0</v>
      </c>
      <c r="J169" s="22">
        <v>0</v>
      </c>
      <c r="K169" s="6">
        <v>35</v>
      </c>
      <c r="L169" s="17">
        <v>0.5</v>
      </c>
      <c r="M169" s="6">
        <v>143.06110000000004</v>
      </c>
      <c r="N169" s="17">
        <v>0.7</v>
      </c>
      <c r="O169" s="6">
        <v>204.37300000000008</v>
      </c>
      <c r="P169" s="6">
        <v>0</v>
      </c>
    </row>
    <row r="170" spans="2:16" ht="18" customHeight="1" x14ac:dyDescent="0.25">
      <c r="B170" t="s">
        <v>72</v>
      </c>
      <c r="C170" t="s">
        <v>82</v>
      </c>
      <c r="D170" t="s">
        <v>174</v>
      </c>
      <c r="E170" s="11" t="s">
        <v>104</v>
      </c>
      <c r="F170" s="20">
        <v>1.3221458333333331</v>
      </c>
      <c r="G170" s="6">
        <v>927</v>
      </c>
      <c r="H170" s="6">
        <v>0</v>
      </c>
      <c r="I170" s="6">
        <v>0</v>
      </c>
      <c r="J170" s="22">
        <v>0</v>
      </c>
      <c r="K170" s="6">
        <v>927</v>
      </c>
      <c r="L170" s="17">
        <v>0.5</v>
      </c>
      <c r="M170" s="6">
        <v>2451.2583749999994</v>
      </c>
      <c r="N170" s="17">
        <v>0.6</v>
      </c>
      <c r="O170" s="6">
        <v>4085.4306249999991</v>
      </c>
      <c r="P170" s="6">
        <v>0</v>
      </c>
    </row>
    <row r="171" spans="2:16" ht="18" customHeight="1" x14ac:dyDescent="0.25">
      <c r="B171" t="s">
        <v>72</v>
      </c>
      <c r="C171" t="s">
        <v>82</v>
      </c>
      <c r="D171" t="s">
        <v>174</v>
      </c>
      <c r="E171" s="11" t="s">
        <v>106</v>
      </c>
      <c r="F171" s="20">
        <v>1.3125</v>
      </c>
      <c r="G171" s="6">
        <v>0</v>
      </c>
      <c r="H171" s="6">
        <v>235</v>
      </c>
      <c r="I171" s="6">
        <v>0</v>
      </c>
      <c r="J171" s="22">
        <v>0</v>
      </c>
      <c r="K171" s="6">
        <v>235</v>
      </c>
      <c r="L171" s="17">
        <v>0.65</v>
      </c>
      <c r="M171" s="6">
        <v>0</v>
      </c>
      <c r="N171" s="17" t="s">
        <v>107</v>
      </c>
      <c r="O171" s="6">
        <v>0</v>
      </c>
      <c r="P171" s="6">
        <v>474.51923076923077</v>
      </c>
    </row>
    <row r="172" spans="2:16" ht="18" customHeight="1" x14ac:dyDescent="0.25">
      <c r="B172" t="s">
        <v>72</v>
      </c>
      <c r="C172" t="s">
        <v>82</v>
      </c>
      <c r="D172" t="s">
        <v>175</v>
      </c>
      <c r="E172" s="11" t="s">
        <v>104</v>
      </c>
      <c r="F172" s="20">
        <v>1.5002641666666667</v>
      </c>
      <c r="G172" s="29">
        <v>7184</v>
      </c>
      <c r="H172" s="30">
        <v>0</v>
      </c>
      <c r="I172" s="30">
        <v>0</v>
      </c>
      <c r="J172" s="31">
        <v>0</v>
      </c>
      <c r="K172" s="30">
        <v>7184</v>
      </c>
      <c r="L172" s="32">
        <v>0.5</v>
      </c>
      <c r="M172" s="30">
        <v>21555.795546666668</v>
      </c>
      <c r="N172" s="32">
        <v>0.7</v>
      </c>
      <c r="O172" s="30">
        <v>30793.993638095242</v>
      </c>
      <c r="P172" s="30">
        <v>0</v>
      </c>
    </row>
    <row r="173" spans="2:16" ht="18" customHeight="1" thickBot="1" x14ac:dyDescent="0.3">
      <c r="B173" s="35"/>
      <c r="C173" s="35"/>
      <c r="D173" s="35"/>
      <c r="E173" s="36"/>
      <c r="F173" s="37" t="s">
        <v>42</v>
      </c>
      <c r="G173" s="38">
        <v>14081</v>
      </c>
      <c r="H173" s="38">
        <v>1940</v>
      </c>
      <c r="I173" s="38">
        <v>0</v>
      </c>
      <c r="J173" s="39">
        <v>0</v>
      </c>
      <c r="K173" s="38">
        <v>16021</v>
      </c>
      <c r="L173" s="40"/>
      <c r="M173" s="38">
        <v>44348.264831666667</v>
      </c>
      <c r="N173" s="40"/>
      <c r="O173" s="38">
        <v>65379.527765476196</v>
      </c>
      <c r="P173" s="38">
        <v>3917.3076923076924</v>
      </c>
    </row>
    <row r="174" spans="2:16" ht="18" customHeight="1" thickTop="1" x14ac:dyDescent="0.25">
      <c r="B174" t="s">
        <v>73</v>
      </c>
      <c r="C174" t="s">
        <v>82</v>
      </c>
      <c r="D174" t="s">
        <v>161</v>
      </c>
      <c r="E174" s="11" t="s">
        <v>106</v>
      </c>
      <c r="F174" s="20">
        <v>1.2526410827664398</v>
      </c>
      <c r="G174" s="29">
        <v>0</v>
      </c>
      <c r="H174" s="30">
        <v>17114</v>
      </c>
      <c r="I174" s="30">
        <v>0</v>
      </c>
      <c r="J174" s="31">
        <v>0</v>
      </c>
      <c r="K174" s="30">
        <v>17114</v>
      </c>
      <c r="L174" s="32">
        <v>0.65</v>
      </c>
      <c r="M174" s="30">
        <v>0</v>
      </c>
      <c r="N174" s="32" t="s">
        <v>107</v>
      </c>
      <c r="O174" s="30">
        <v>0</v>
      </c>
      <c r="P174" s="30">
        <v>32981.076139176694</v>
      </c>
    </row>
    <row r="175" spans="2:16" ht="18" customHeight="1" thickBot="1" x14ac:dyDescent="0.3">
      <c r="B175" s="35"/>
      <c r="C175" s="35"/>
      <c r="D175" s="35"/>
      <c r="E175" s="36"/>
      <c r="F175" s="37" t="s">
        <v>42</v>
      </c>
      <c r="G175" s="38">
        <v>0</v>
      </c>
      <c r="H175" s="38">
        <v>17114</v>
      </c>
      <c r="I175" s="38">
        <v>0</v>
      </c>
      <c r="J175" s="39">
        <v>0</v>
      </c>
      <c r="K175" s="38">
        <v>17114</v>
      </c>
      <c r="L175" s="40"/>
      <c r="M175" s="38">
        <v>0</v>
      </c>
      <c r="N175" s="40"/>
      <c r="O175" s="38">
        <v>0</v>
      </c>
      <c r="P175" s="38">
        <v>32981.076139176694</v>
      </c>
    </row>
    <row r="176" spans="2:16" ht="18" customHeight="1" thickTop="1" x14ac:dyDescent="0.25">
      <c r="B176" t="s">
        <v>74</v>
      </c>
      <c r="C176" t="s">
        <v>79</v>
      </c>
      <c r="D176" t="s">
        <v>176</v>
      </c>
      <c r="E176" s="11" t="s">
        <v>106</v>
      </c>
      <c r="F176" s="20">
        <v>1.2714425845209252</v>
      </c>
      <c r="G176" s="6">
        <v>0</v>
      </c>
      <c r="H176" s="6">
        <v>30791</v>
      </c>
      <c r="I176" s="6">
        <v>0</v>
      </c>
      <c r="J176" s="22">
        <v>0</v>
      </c>
      <c r="K176" s="6">
        <v>30791</v>
      </c>
      <c r="L176" s="17">
        <v>0.65</v>
      </c>
      <c r="M176" s="6">
        <v>0</v>
      </c>
      <c r="N176" s="17" t="s">
        <v>107</v>
      </c>
      <c r="O176" s="6">
        <v>0</v>
      </c>
      <c r="P176" s="6">
        <v>60229.213261513549</v>
      </c>
    </row>
    <row r="177" spans="2:16" ht="18" customHeight="1" x14ac:dyDescent="0.25">
      <c r="B177" t="s">
        <v>74</v>
      </c>
      <c r="C177" t="s">
        <v>79</v>
      </c>
      <c r="D177" t="s">
        <v>115</v>
      </c>
      <c r="E177" s="11" t="s">
        <v>106</v>
      </c>
      <c r="F177" s="20">
        <v>1.5480811927054725</v>
      </c>
      <c r="G177" s="6">
        <v>0</v>
      </c>
      <c r="H177" s="6">
        <v>628</v>
      </c>
      <c r="I177" s="6">
        <v>0</v>
      </c>
      <c r="J177" s="22">
        <v>0</v>
      </c>
      <c r="K177" s="6">
        <v>628</v>
      </c>
      <c r="L177" s="17">
        <v>0.65</v>
      </c>
      <c r="M177" s="6">
        <v>0</v>
      </c>
      <c r="N177" s="17" t="s">
        <v>107</v>
      </c>
      <c r="O177" s="6">
        <v>0</v>
      </c>
      <c r="P177" s="6">
        <v>1495.6845984908257</v>
      </c>
    </row>
    <row r="178" spans="2:16" ht="18" customHeight="1" x14ac:dyDescent="0.25">
      <c r="B178" t="s">
        <v>74</v>
      </c>
      <c r="C178" t="s">
        <v>79</v>
      </c>
      <c r="D178" t="s">
        <v>177</v>
      </c>
      <c r="E178" s="11" t="s">
        <v>106</v>
      </c>
      <c r="F178" s="20">
        <v>1.3351915346876002</v>
      </c>
      <c r="G178" s="29">
        <v>0</v>
      </c>
      <c r="H178" s="30">
        <v>13848</v>
      </c>
      <c r="I178" s="30">
        <v>0</v>
      </c>
      <c r="J178" s="31">
        <v>0</v>
      </c>
      <c r="K178" s="30">
        <v>13848</v>
      </c>
      <c r="L178" s="32">
        <v>0.65</v>
      </c>
      <c r="M178" s="30">
        <v>0</v>
      </c>
      <c r="N178" s="32" t="s">
        <v>107</v>
      </c>
      <c r="O178" s="30">
        <v>0</v>
      </c>
      <c r="P178" s="30">
        <v>28445.74211131367</v>
      </c>
    </row>
    <row r="179" spans="2:16" ht="18" customHeight="1" thickBot="1" x14ac:dyDescent="0.3">
      <c r="B179" s="35"/>
      <c r="C179" s="35"/>
      <c r="D179" s="35"/>
      <c r="E179" s="36"/>
      <c r="F179" s="37" t="s">
        <v>42</v>
      </c>
      <c r="G179" s="38">
        <v>0</v>
      </c>
      <c r="H179" s="38">
        <v>45267</v>
      </c>
      <c r="I179" s="38">
        <v>0</v>
      </c>
      <c r="J179" s="39">
        <v>0</v>
      </c>
      <c r="K179" s="38">
        <v>45267</v>
      </c>
      <c r="L179" s="40"/>
      <c r="M179" s="38">
        <v>0</v>
      </c>
      <c r="N179" s="40"/>
      <c r="O179" s="38">
        <v>0</v>
      </c>
      <c r="P179" s="38">
        <v>90170.639971318044</v>
      </c>
    </row>
    <row r="180" spans="2:16" ht="18" customHeight="1" thickTop="1" x14ac:dyDescent="0.25">
      <c r="B180" t="s">
        <v>75</v>
      </c>
      <c r="C180" t="s">
        <v>82</v>
      </c>
      <c r="D180" t="s">
        <v>179</v>
      </c>
      <c r="E180" s="11" t="s">
        <v>104</v>
      </c>
      <c r="F180" s="20">
        <v>2.5825866666666664</v>
      </c>
      <c r="G180" s="6">
        <v>13270.614318706697</v>
      </c>
      <c r="H180" s="6">
        <v>0</v>
      </c>
      <c r="I180" s="6">
        <v>5011.0392609699766</v>
      </c>
      <c r="J180" s="22">
        <v>1670.3464203233257</v>
      </c>
      <c r="K180" s="6">
        <v>19952</v>
      </c>
      <c r="L180" s="17">
        <v>0.5</v>
      </c>
      <c r="M180" s="6">
        <v>94333.332471131638</v>
      </c>
      <c r="N180" s="17">
        <v>0.68404840981244253</v>
      </c>
      <c r="O180" s="6">
        <v>137904.46862817305</v>
      </c>
      <c r="P180" s="6">
        <v>8618.9875288683616</v>
      </c>
    </row>
    <row r="181" spans="2:16" ht="18" customHeight="1" x14ac:dyDescent="0.25">
      <c r="B181" t="s">
        <v>75</v>
      </c>
      <c r="C181" t="s">
        <v>82</v>
      </c>
      <c r="D181" t="s">
        <v>141</v>
      </c>
      <c r="E181" s="11" t="s">
        <v>106</v>
      </c>
      <c r="F181" s="20">
        <v>2.7600000000000002</v>
      </c>
      <c r="G181" s="29">
        <v>0</v>
      </c>
      <c r="H181" s="30">
        <v>89</v>
      </c>
      <c r="I181" s="30">
        <v>0</v>
      </c>
      <c r="J181" s="31">
        <v>0</v>
      </c>
      <c r="K181" s="30">
        <v>89</v>
      </c>
      <c r="L181" s="32">
        <v>0.65</v>
      </c>
      <c r="M181" s="30">
        <v>0</v>
      </c>
      <c r="N181" s="32" t="s">
        <v>107</v>
      </c>
      <c r="O181" s="30">
        <v>0</v>
      </c>
      <c r="P181" s="30">
        <v>377.90769230769234</v>
      </c>
    </row>
    <row r="182" spans="2:16" ht="18" customHeight="1" thickBot="1" x14ac:dyDescent="0.3">
      <c r="B182" s="3"/>
      <c r="C182" s="3"/>
      <c r="D182" s="3"/>
      <c r="E182" s="13"/>
      <c r="F182" s="27" t="s">
        <v>42</v>
      </c>
      <c r="G182" s="7">
        <v>13270.614318706697</v>
      </c>
      <c r="H182" s="7">
        <v>89</v>
      </c>
      <c r="I182" s="7">
        <v>5011.0392609699766</v>
      </c>
      <c r="J182" s="28">
        <v>1670.3464203233257</v>
      </c>
      <c r="K182" s="7">
        <v>20041</v>
      </c>
      <c r="L182" s="15"/>
      <c r="M182" s="7">
        <v>94333.332471131638</v>
      </c>
      <c r="N182" s="15"/>
      <c r="O182" s="7">
        <v>137904.46862817305</v>
      </c>
      <c r="P182" s="7">
        <v>8996.8952211760534</v>
      </c>
    </row>
    <row r="183" spans="2:16" ht="18" customHeight="1" x14ac:dyDescent="0.25">
      <c r="F183" s="33" t="s">
        <v>15</v>
      </c>
      <c r="G183" s="6">
        <v>212177.22837101042</v>
      </c>
      <c r="H183" s="6">
        <v>454953.96197593794</v>
      </c>
      <c r="I183" s="6">
        <v>49241.887028150217</v>
      </c>
      <c r="J183" s="34">
        <v>69818.922624901417</v>
      </c>
      <c r="K183" s="6">
        <v>786192</v>
      </c>
      <c r="M183" s="6">
        <v>955937.08973373496</v>
      </c>
      <c r="O183" s="6">
        <v>1467441.6445937003</v>
      </c>
      <c r="P183" s="6">
        <v>1499255.5474128872</v>
      </c>
    </row>
    <row r="184" spans="2:16" ht="18" customHeight="1" x14ac:dyDescent="0.25"/>
    <row r="185" spans="2:16" ht="18" customHeight="1" x14ac:dyDescent="0.25"/>
    <row r="186" spans="2:16" ht="18" customHeight="1" x14ac:dyDescent="0.25">
      <c r="B186" t="s">
        <v>207</v>
      </c>
    </row>
    <row r="187" spans="2:16" ht="18" customHeight="1" x14ac:dyDescent="0.25">
      <c r="B187" t="s">
        <v>198</v>
      </c>
    </row>
    <row r="188" spans="2:16" ht="18" customHeight="1" x14ac:dyDescent="0.25">
      <c r="B188" t="s">
        <v>197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8664A-4CC2-4E0A-B7AC-B81E6C586452}">
  <dimension ref="B2:L40"/>
  <sheetViews>
    <sheetView workbookViewId="0"/>
  </sheetViews>
  <sheetFormatPr defaultRowHeight="15" x14ac:dyDescent="0.25"/>
  <cols>
    <col min="2" max="2" width="13.7109375" customWidth="1"/>
    <col min="3" max="12" width="10.28515625" customWidth="1"/>
  </cols>
  <sheetData>
    <row r="2" spans="2:12" x14ac:dyDescent="0.25">
      <c r="B2" s="1" t="s">
        <v>204</v>
      </c>
    </row>
    <row r="3" spans="2:12" ht="15.75" thickBot="1" x14ac:dyDescent="0.3">
      <c r="B3" s="41" t="s">
        <v>41</v>
      </c>
      <c r="C3" s="42" t="s">
        <v>94</v>
      </c>
      <c r="D3" s="42" t="s">
        <v>95</v>
      </c>
      <c r="E3" s="43" t="s">
        <v>199</v>
      </c>
      <c r="F3" s="42" t="s">
        <v>200</v>
      </c>
      <c r="G3" s="42" t="s">
        <v>201</v>
      </c>
      <c r="H3" s="43" t="s">
        <v>202</v>
      </c>
      <c r="I3" s="44" t="s">
        <v>98</v>
      </c>
      <c r="J3" s="42" t="s">
        <v>102</v>
      </c>
      <c r="K3" s="43" t="s">
        <v>103</v>
      </c>
      <c r="L3" s="45" t="s">
        <v>203</v>
      </c>
    </row>
    <row r="4" spans="2:12" x14ac:dyDescent="0.25">
      <c r="B4" s="46" t="s">
        <v>43</v>
      </c>
      <c r="C4" s="6">
        <v>3525.899383983573</v>
      </c>
      <c r="D4" s="6">
        <v>0</v>
      </c>
      <c r="E4" s="34">
        <v>2031.100616016427</v>
      </c>
      <c r="F4" s="6">
        <v>0</v>
      </c>
      <c r="G4" s="6">
        <v>5557</v>
      </c>
      <c r="H4" s="34">
        <v>0</v>
      </c>
      <c r="I4" s="48">
        <v>5557</v>
      </c>
      <c r="J4" s="6">
        <v>39564.224967584611</v>
      </c>
      <c r="K4" s="34">
        <v>2721.6748254620124</v>
      </c>
      <c r="L4" s="6">
        <v>42285.899793046621</v>
      </c>
    </row>
    <row r="5" spans="2:12" x14ac:dyDescent="0.25">
      <c r="B5" s="47" t="s">
        <v>44</v>
      </c>
      <c r="C5" s="6">
        <v>987</v>
      </c>
      <c r="D5" s="6">
        <v>149</v>
      </c>
      <c r="E5" s="22">
        <v>0</v>
      </c>
      <c r="F5" s="6">
        <v>0</v>
      </c>
      <c r="G5" s="6">
        <v>987</v>
      </c>
      <c r="H5" s="22">
        <v>149</v>
      </c>
      <c r="I5" s="49">
        <v>1136</v>
      </c>
      <c r="J5" s="6">
        <v>16812.730183634914</v>
      </c>
      <c r="K5" s="22">
        <v>641.97648939393935</v>
      </c>
      <c r="L5" s="6">
        <v>17454.706673028853</v>
      </c>
    </row>
    <row r="6" spans="2:12" x14ac:dyDescent="0.25">
      <c r="B6" s="47" t="s">
        <v>45</v>
      </c>
      <c r="C6" s="6">
        <v>1735.3910685476951</v>
      </c>
      <c r="D6" s="6">
        <v>51730.106794700165</v>
      </c>
      <c r="E6" s="22">
        <v>8890.5021367521367</v>
      </c>
      <c r="F6" s="6">
        <v>0</v>
      </c>
      <c r="G6" s="6">
        <v>6406</v>
      </c>
      <c r="H6" s="22">
        <v>55950</v>
      </c>
      <c r="I6" s="49">
        <v>62356</v>
      </c>
      <c r="J6" s="6">
        <v>31445.969199445164</v>
      </c>
      <c r="K6" s="22">
        <v>209688.24475524476</v>
      </c>
      <c r="L6" s="6">
        <v>241134.21395468991</v>
      </c>
    </row>
    <row r="7" spans="2:12" x14ac:dyDescent="0.25">
      <c r="B7" s="47" t="s">
        <v>46</v>
      </c>
      <c r="C7" s="6">
        <v>384.81957186544344</v>
      </c>
      <c r="D7" s="6">
        <v>83.743119266055047</v>
      </c>
      <c r="E7" s="22">
        <v>183.43730886850153</v>
      </c>
      <c r="F7" s="6">
        <v>0</v>
      </c>
      <c r="G7" s="6">
        <v>652</v>
      </c>
      <c r="H7" s="22">
        <v>0</v>
      </c>
      <c r="I7" s="49">
        <v>652</v>
      </c>
      <c r="J7" s="6">
        <v>2517.2498034076016</v>
      </c>
      <c r="K7" s="22">
        <v>476.45847094801223</v>
      </c>
      <c r="L7" s="6">
        <v>2993.7082743556139</v>
      </c>
    </row>
    <row r="8" spans="2:12" x14ac:dyDescent="0.25">
      <c r="B8" s="47" t="s">
        <v>47</v>
      </c>
      <c r="C8" s="6">
        <v>17675</v>
      </c>
      <c r="D8" s="6">
        <v>546</v>
      </c>
      <c r="E8" s="22">
        <v>0</v>
      </c>
      <c r="F8" s="6">
        <v>0</v>
      </c>
      <c r="G8" s="6">
        <v>13785</v>
      </c>
      <c r="H8" s="22">
        <v>4436</v>
      </c>
      <c r="I8" s="49">
        <v>18221</v>
      </c>
      <c r="J8" s="6">
        <v>53926.235662115658</v>
      </c>
      <c r="K8" s="22">
        <v>1718.6936969696967</v>
      </c>
      <c r="L8" s="6">
        <v>55644.929359085356</v>
      </c>
    </row>
    <row r="9" spans="2:12" x14ac:dyDescent="0.25">
      <c r="B9" s="47" t="s">
        <v>48</v>
      </c>
      <c r="C9" s="6">
        <v>0</v>
      </c>
      <c r="D9" s="6">
        <v>116167</v>
      </c>
      <c r="E9" s="22">
        <v>0</v>
      </c>
      <c r="F9" s="6">
        <v>0</v>
      </c>
      <c r="G9" s="6">
        <v>81</v>
      </c>
      <c r="H9" s="22">
        <v>116086</v>
      </c>
      <c r="I9" s="49">
        <v>116167</v>
      </c>
      <c r="J9" s="6">
        <v>0</v>
      </c>
      <c r="K9" s="22">
        <v>188285.98953136749</v>
      </c>
      <c r="L9" s="6">
        <v>188285.98953136749</v>
      </c>
    </row>
    <row r="10" spans="2:12" x14ac:dyDescent="0.25">
      <c r="B10" s="47" t="s">
        <v>49</v>
      </c>
      <c r="C10" s="6">
        <v>5773</v>
      </c>
      <c r="D10" s="6">
        <v>3351</v>
      </c>
      <c r="E10" s="22">
        <v>0</v>
      </c>
      <c r="F10" s="6">
        <v>0</v>
      </c>
      <c r="G10" s="6">
        <v>5773</v>
      </c>
      <c r="H10" s="22">
        <v>3351</v>
      </c>
      <c r="I10" s="49">
        <v>9124</v>
      </c>
      <c r="J10" s="6">
        <v>42542</v>
      </c>
      <c r="K10" s="22">
        <v>10343.138403846153</v>
      </c>
      <c r="L10" s="6">
        <v>52885.138403846155</v>
      </c>
    </row>
    <row r="11" spans="2:12" x14ac:dyDescent="0.25">
      <c r="B11" s="47" t="s">
        <v>120</v>
      </c>
      <c r="C11" s="6">
        <v>960</v>
      </c>
      <c r="D11" s="6">
        <v>1522</v>
      </c>
      <c r="E11" s="22">
        <v>69565.999999999985</v>
      </c>
      <c r="F11" s="6">
        <v>186</v>
      </c>
      <c r="G11" s="6">
        <v>70969</v>
      </c>
      <c r="H11" s="22">
        <v>893</v>
      </c>
      <c r="I11" s="49">
        <v>72048</v>
      </c>
      <c r="J11" s="6">
        <v>191447.31796448037</v>
      </c>
      <c r="K11" s="22">
        <v>218660.18794941291</v>
      </c>
      <c r="L11" s="6">
        <v>410107.50591389328</v>
      </c>
    </row>
    <row r="12" spans="2:12" x14ac:dyDescent="0.25">
      <c r="B12" s="47" t="s">
        <v>51</v>
      </c>
      <c r="C12" s="6">
        <v>2142.3446060393671</v>
      </c>
      <c r="D12" s="6">
        <v>23222</v>
      </c>
      <c r="E12" s="22">
        <v>11051.655393960635</v>
      </c>
      <c r="F12" s="6">
        <v>0</v>
      </c>
      <c r="G12" s="6">
        <v>29712</v>
      </c>
      <c r="H12" s="22">
        <v>6704</v>
      </c>
      <c r="I12" s="49">
        <v>36416</v>
      </c>
      <c r="J12" s="6">
        <v>69613.897878787873</v>
      </c>
      <c r="K12" s="22">
        <v>115027.969658792</v>
      </c>
      <c r="L12" s="6">
        <v>184641.86753757988</v>
      </c>
    </row>
    <row r="13" spans="2:12" x14ac:dyDescent="0.25">
      <c r="B13" s="47" t="s">
        <v>52</v>
      </c>
      <c r="C13" s="6">
        <v>1858.8</v>
      </c>
      <c r="D13" s="6">
        <v>984.55</v>
      </c>
      <c r="E13" s="22">
        <v>139.65</v>
      </c>
      <c r="F13" s="6">
        <v>0</v>
      </c>
      <c r="G13" s="6">
        <v>2351</v>
      </c>
      <c r="H13" s="22">
        <v>632</v>
      </c>
      <c r="I13" s="49">
        <v>2983</v>
      </c>
      <c r="J13" s="6">
        <v>28878.062827342401</v>
      </c>
      <c r="K13" s="22">
        <v>4540.2311540933042</v>
      </c>
      <c r="L13" s="6">
        <v>33418.293981435709</v>
      </c>
    </row>
    <row r="14" spans="2:12" x14ac:dyDescent="0.25">
      <c r="B14" s="47" t="s">
        <v>53</v>
      </c>
      <c r="C14" s="6">
        <v>2339</v>
      </c>
      <c r="D14" s="6">
        <v>0</v>
      </c>
      <c r="E14" s="22">
        <v>0</v>
      </c>
      <c r="F14" s="6">
        <v>0</v>
      </c>
      <c r="G14" s="6">
        <v>2300</v>
      </c>
      <c r="H14" s="22">
        <v>39</v>
      </c>
      <c r="I14" s="49">
        <v>2339</v>
      </c>
      <c r="J14" s="6">
        <v>20649.26746969697</v>
      </c>
      <c r="K14" s="22">
        <v>0</v>
      </c>
      <c r="L14" s="6">
        <v>20649.26746969697</v>
      </c>
    </row>
    <row r="15" spans="2:12" x14ac:dyDescent="0.25">
      <c r="B15" s="47" t="s">
        <v>54</v>
      </c>
      <c r="C15" s="6">
        <v>0</v>
      </c>
      <c r="D15" s="6">
        <v>2469</v>
      </c>
      <c r="E15" s="22">
        <v>0</v>
      </c>
      <c r="F15" s="6">
        <v>0</v>
      </c>
      <c r="G15" s="6">
        <v>0</v>
      </c>
      <c r="H15" s="22">
        <v>2469</v>
      </c>
      <c r="I15" s="49">
        <v>2469</v>
      </c>
      <c r="J15" s="6">
        <v>0</v>
      </c>
      <c r="K15" s="22">
        <v>5502.5780000000004</v>
      </c>
      <c r="L15" s="6">
        <v>5502.5780000000004</v>
      </c>
    </row>
    <row r="16" spans="2:12" x14ac:dyDescent="0.25">
      <c r="B16" s="47" t="s">
        <v>55</v>
      </c>
      <c r="C16" s="6">
        <v>1590</v>
      </c>
      <c r="D16" s="6">
        <v>15012</v>
      </c>
      <c r="E16" s="22">
        <v>0</v>
      </c>
      <c r="F16" s="6">
        <v>315</v>
      </c>
      <c r="G16" s="6">
        <v>5138</v>
      </c>
      <c r="H16" s="22">
        <v>11149</v>
      </c>
      <c r="I16" s="49">
        <v>16602</v>
      </c>
      <c r="J16" s="6">
        <v>9785.2252207792208</v>
      </c>
      <c r="K16" s="22">
        <v>67286.995908688055</v>
      </c>
      <c r="L16" s="6">
        <v>77072.221129467274</v>
      </c>
    </row>
    <row r="17" spans="2:12" x14ac:dyDescent="0.25">
      <c r="B17" s="47" t="s">
        <v>56</v>
      </c>
      <c r="C17" s="6">
        <v>0</v>
      </c>
      <c r="D17" s="6">
        <v>69425</v>
      </c>
      <c r="E17" s="22">
        <v>0</v>
      </c>
      <c r="F17" s="6">
        <v>0</v>
      </c>
      <c r="G17" s="6">
        <v>0</v>
      </c>
      <c r="H17" s="22">
        <v>69425</v>
      </c>
      <c r="I17" s="49">
        <v>69425</v>
      </c>
      <c r="J17" s="6">
        <v>0</v>
      </c>
      <c r="K17" s="22">
        <v>216704.35811114564</v>
      </c>
      <c r="L17" s="6">
        <v>216704.35811114564</v>
      </c>
    </row>
    <row r="18" spans="2:12" x14ac:dyDescent="0.25">
      <c r="B18" s="47" t="s">
        <v>57</v>
      </c>
      <c r="C18" s="6">
        <v>719.85682326621929</v>
      </c>
      <c r="D18" s="6">
        <v>549.27964205816556</v>
      </c>
      <c r="E18" s="22">
        <v>834.86353467561526</v>
      </c>
      <c r="F18" s="6">
        <v>0</v>
      </c>
      <c r="G18" s="6">
        <v>1904</v>
      </c>
      <c r="H18" s="22">
        <v>200</v>
      </c>
      <c r="I18" s="49">
        <v>2104</v>
      </c>
      <c r="J18" s="6">
        <v>9739.3368133233889</v>
      </c>
      <c r="K18" s="22">
        <v>3964.1394443488402</v>
      </c>
      <c r="L18" s="6">
        <v>13703.47625767223</v>
      </c>
    </row>
    <row r="19" spans="2:12" x14ac:dyDescent="0.25">
      <c r="B19" s="47" t="s">
        <v>58</v>
      </c>
      <c r="C19" s="6">
        <v>0</v>
      </c>
      <c r="D19" s="6">
        <v>0</v>
      </c>
      <c r="E19" s="22">
        <v>0</v>
      </c>
      <c r="F19" s="6">
        <v>0</v>
      </c>
      <c r="G19" s="6">
        <v>0</v>
      </c>
      <c r="H19" s="22">
        <v>0</v>
      </c>
      <c r="I19" s="49">
        <v>0</v>
      </c>
      <c r="J19" s="6">
        <v>0</v>
      </c>
      <c r="K19" s="22">
        <v>0</v>
      </c>
      <c r="L19" s="6">
        <v>0</v>
      </c>
    </row>
    <row r="20" spans="2:12" x14ac:dyDescent="0.25">
      <c r="B20" s="47" t="s">
        <v>59</v>
      </c>
      <c r="C20" s="6">
        <v>33.379310344827587</v>
      </c>
      <c r="D20" s="6">
        <v>27162.34482758621</v>
      </c>
      <c r="E20" s="22">
        <v>200.27586206896552</v>
      </c>
      <c r="F20" s="6">
        <v>15706</v>
      </c>
      <c r="G20" s="6">
        <v>7314</v>
      </c>
      <c r="H20" s="22">
        <v>4376</v>
      </c>
      <c r="I20" s="49">
        <v>27396</v>
      </c>
      <c r="J20" s="6">
        <v>867.71004146799021</v>
      </c>
      <c r="K20" s="22">
        <v>99097.378181642853</v>
      </c>
      <c r="L20" s="6">
        <v>99965.088223110841</v>
      </c>
    </row>
    <row r="21" spans="2:12" x14ac:dyDescent="0.25">
      <c r="B21" s="47" t="s">
        <v>60</v>
      </c>
      <c r="C21" s="6">
        <v>19</v>
      </c>
      <c r="D21" s="6">
        <v>47</v>
      </c>
      <c r="E21" s="22">
        <v>0</v>
      </c>
      <c r="F21" s="6">
        <v>0</v>
      </c>
      <c r="G21" s="6">
        <v>19</v>
      </c>
      <c r="H21" s="22">
        <v>47</v>
      </c>
      <c r="I21" s="49">
        <v>66</v>
      </c>
      <c r="J21" s="6">
        <v>96.357142857142847</v>
      </c>
      <c r="K21" s="22">
        <v>122.38076923076923</v>
      </c>
      <c r="L21" s="6">
        <v>218.73791208791209</v>
      </c>
    </row>
    <row r="22" spans="2:12" x14ac:dyDescent="0.25">
      <c r="B22" s="47" t="s">
        <v>61</v>
      </c>
      <c r="C22" s="6">
        <v>9356</v>
      </c>
      <c r="D22" s="6">
        <v>0</v>
      </c>
      <c r="E22" s="22">
        <v>0</v>
      </c>
      <c r="F22" s="6">
        <v>0</v>
      </c>
      <c r="G22" s="6">
        <v>7680</v>
      </c>
      <c r="H22" s="22">
        <v>1676</v>
      </c>
      <c r="I22" s="49">
        <v>9356</v>
      </c>
      <c r="J22" s="6">
        <v>30902.388965700964</v>
      </c>
      <c r="K22" s="22">
        <v>0</v>
      </c>
      <c r="L22" s="6">
        <v>30902.388965700964</v>
      </c>
    </row>
    <row r="23" spans="2:12" x14ac:dyDescent="0.25">
      <c r="B23" s="47" t="s">
        <v>62</v>
      </c>
      <c r="C23" s="6">
        <v>961.37209302325584</v>
      </c>
      <c r="D23" s="6">
        <v>1981</v>
      </c>
      <c r="E23" s="22">
        <v>1711.6279069767443</v>
      </c>
      <c r="F23" s="6">
        <v>60</v>
      </c>
      <c r="G23" s="6">
        <v>2673</v>
      </c>
      <c r="H23" s="22">
        <v>1921</v>
      </c>
      <c r="I23" s="49">
        <v>4654</v>
      </c>
      <c r="J23" s="6">
        <v>15175.460283902145</v>
      </c>
      <c r="K23" s="22">
        <v>9304.2317681316999</v>
      </c>
      <c r="L23" s="6">
        <v>24479.692052033846</v>
      </c>
    </row>
    <row r="24" spans="2:12" x14ac:dyDescent="0.25">
      <c r="B24" s="47" t="s">
        <v>63</v>
      </c>
      <c r="C24" s="6">
        <v>9341</v>
      </c>
      <c r="D24" s="6">
        <v>10880</v>
      </c>
      <c r="E24" s="22">
        <v>0</v>
      </c>
      <c r="F24" s="6">
        <v>0</v>
      </c>
      <c r="G24" s="6">
        <v>7041</v>
      </c>
      <c r="H24" s="22">
        <v>13180</v>
      </c>
      <c r="I24" s="49">
        <v>20221</v>
      </c>
      <c r="J24" s="6">
        <v>64348.957970886739</v>
      </c>
      <c r="K24" s="22">
        <v>27933.538461538465</v>
      </c>
      <c r="L24" s="6">
        <v>92282.496432425207</v>
      </c>
    </row>
    <row r="25" spans="2:12" x14ac:dyDescent="0.25">
      <c r="B25" s="47" t="s">
        <v>64</v>
      </c>
      <c r="C25" s="6">
        <v>22974.495712535729</v>
      </c>
      <c r="D25" s="6">
        <v>408.65659452837895</v>
      </c>
      <c r="E25" s="22">
        <v>228.84769293589221</v>
      </c>
      <c r="F25" s="6">
        <v>0</v>
      </c>
      <c r="G25" s="6">
        <v>23560</v>
      </c>
      <c r="H25" s="22">
        <v>52</v>
      </c>
      <c r="I25" s="49">
        <v>23612</v>
      </c>
      <c r="J25" s="6">
        <v>114666.18927881047</v>
      </c>
      <c r="K25" s="22">
        <v>1329.3853204409966</v>
      </c>
      <c r="L25" s="6">
        <v>115995.57459925147</v>
      </c>
    </row>
    <row r="26" spans="2:12" x14ac:dyDescent="0.25">
      <c r="B26" s="47" t="s">
        <v>65</v>
      </c>
      <c r="C26" s="6">
        <v>0</v>
      </c>
      <c r="D26" s="6">
        <v>55699</v>
      </c>
      <c r="E26" s="22">
        <v>0</v>
      </c>
      <c r="F26" s="6">
        <v>0</v>
      </c>
      <c r="G26" s="6">
        <v>0</v>
      </c>
      <c r="H26" s="22">
        <v>55699</v>
      </c>
      <c r="I26" s="49">
        <v>55699</v>
      </c>
      <c r="J26" s="6">
        <v>0</v>
      </c>
      <c r="K26" s="22">
        <v>122035.65747619048</v>
      </c>
      <c r="L26" s="6">
        <v>122035.65747619048</v>
      </c>
    </row>
    <row r="27" spans="2:12" x14ac:dyDescent="0.25">
      <c r="B27" s="47" t="s">
        <v>66</v>
      </c>
      <c r="C27" s="6">
        <v>6284.4711388455535</v>
      </c>
      <c r="D27" s="6">
        <v>0</v>
      </c>
      <c r="E27" s="22">
        <v>561.52886115444619</v>
      </c>
      <c r="F27" s="6">
        <v>0</v>
      </c>
      <c r="G27" s="6">
        <v>6846</v>
      </c>
      <c r="H27" s="22">
        <v>0</v>
      </c>
      <c r="I27" s="49">
        <v>6846</v>
      </c>
      <c r="J27" s="6">
        <v>49736.577069355779</v>
      </c>
      <c r="K27" s="22">
        <v>749.6410296411857</v>
      </c>
      <c r="L27" s="6">
        <v>50486.218098996964</v>
      </c>
    </row>
    <row r="28" spans="2:12" x14ac:dyDescent="0.25">
      <c r="B28" s="47" t="s">
        <v>67</v>
      </c>
      <c r="C28" s="6">
        <v>84374</v>
      </c>
      <c r="D28" s="6">
        <v>0</v>
      </c>
      <c r="E28" s="22">
        <v>0</v>
      </c>
      <c r="F28" s="6">
        <v>266</v>
      </c>
      <c r="G28" s="6">
        <v>11798</v>
      </c>
      <c r="H28" s="22">
        <v>72310</v>
      </c>
      <c r="I28" s="49">
        <v>84374</v>
      </c>
      <c r="J28" s="6">
        <v>330369.50922896777</v>
      </c>
      <c r="K28" s="22">
        <v>0</v>
      </c>
      <c r="L28" s="6">
        <v>330369.50922896777</v>
      </c>
    </row>
    <row r="29" spans="2:12" x14ac:dyDescent="0.25">
      <c r="B29" s="47" t="s">
        <v>68</v>
      </c>
      <c r="C29" s="6">
        <v>6555</v>
      </c>
      <c r="D29" s="6">
        <v>0</v>
      </c>
      <c r="E29" s="22">
        <v>0</v>
      </c>
      <c r="F29" s="6">
        <v>0</v>
      </c>
      <c r="G29" s="6">
        <v>5173</v>
      </c>
      <c r="H29" s="22">
        <v>1382</v>
      </c>
      <c r="I29" s="49">
        <v>6555</v>
      </c>
      <c r="J29" s="6">
        <v>36028.475574684577</v>
      </c>
      <c r="K29" s="22">
        <v>0</v>
      </c>
      <c r="L29" s="6">
        <v>36028.475574684577</v>
      </c>
    </row>
    <row r="30" spans="2:12" x14ac:dyDescent="0.25">
      <c r="B30" s="47" t="s">
        <v>69</v>
      </c>
      <c r="C30" s="6">
        <v>1076.8496894409939</v>
      </c>
      <c r="D30" s="6">
        <v>7567</v>
      </c>
      <c r="E30" s="22">
        <v>154.15031055900621</v>
      </c>
      <c r="F30" s="6">
        <v>0</v>
      </c>
      <c r="G30" s="6">
        <v>1231</v>
      </c>
      <c r="H30" s="22">
        <v>7567</v>
      </c>
      <c r="I30" s="49">
        <v>8798</v>
      </c>
      <c r="J30" s="6">
        <v>5914.4092274618406</v>
      </c>
      <c r="K30" s="22">
        <v>17088.450742089502</v>
      </c>
      <c r="L30" s="6">
        <v>23002.859969551344</v>
      </c>
    </row>
    <row r="31" spans="2:12" x14ac:dyDescent="0.25">
      <c r="B31" s="47" t="s">
        <v>70</v>
      </c>
      <c r="C31" s="6">
        <v>130.63829787234042</v>
      </c>
      <c r="D31" s="6">
        <v>1073.2695035460993</v>
      </c>
      <c r="E31" s="22">
        <v>3483.0921985815603</v>
      </c>
      <c r="F31" s="6">
        <v>0</v>
      </c>
      <c r="G31" s="6">
        <v>4687</v>
      </c>
      <c r="H31" s="22">
        <v>0</v>
      </c>
      <c r="I31" s="49">
        <v>4687</v>
      </c>
      <c r="J31" s="6">
        <v>9057.9788883104447</v>
      </c>
      <c r="K31" s="22">
        <v>11177.278427073741</v>
      </c>
      <c r="L31" s="6">
        <v>20235.257315384188</v>
      </c>
    </row>
    <row r="32" spans="2:12" x14ac:dyDescent="0.25">
      <c r="B32" s="47" t="s">
        <v>71</v>
      </c>
      <c r="C32" s="6">
        <v>4028.2963565387117</v>
      </c>
      <c r="D32" s="6">
        <v>515.0114942528736</v>
      </c>
      <c r="E32" s="22">
        <v>13342.692149208415</v>
      </c>
      <c r="F32" s="6">
        <v>0</v>
      </c>
      <c r="G32" s="6">
        <v>17382</v>
      </c>
      <c r="H32" s="22">
        <v>504</v>
      </c>
      <c r="I32" s="49">
        <v>17886</v>
      </c>
      <c r="J32" s="6">
        <v>90072.116537047332</v>
      </c>
      <c r="K32" s="22">
        <v>28789.049813216392</v>
      </c>
      <c r="L32" s="6">
        <v>118861.16635026372</v>
      </c>
    </row>
    <row r="33" spans="2:12" x14ac:dyDescent="0.25">
      <c r="B33" s="47" t="s">
        <v>72</v>
      </c>
      <c r="C33" s="6">
        <v>14081</v>
      </c>
      <c r="D33" s="6">
        <v>1940</v>
      </c>
      <c r="E33" s="22">
        <v>0</v>
      </c>
      <c r="F33" s="6">
        <v>0</v>
      </c>
      <c r="G33" s="6">
        <v>14081</v>
      </c>
      <c r="H33" s="22">
        <v>1940</v>
      </c>
      <c r="I33" s="49">
        <v>16021</v>
      </c>
      <c r="J33" s="6">
        <v>65379.527765476196</v>
      </c>
      <c r="K33" s="22">
        <v>3917.3076923076924</v>
      </c>
      <c r="L33" s="6">
        <v>69296.835457783891</v>
      </c>
    </row>
    <row r="34" spans="2:12" x14ac:dyDescent="0.25">
      <c r="B34" s="47" t="s">
        <v>73</v>
      </c>
      <c r="C34" s="6">
        <v>0</v>
      </c>
      <c r="D34" s="6">
        <v>17114</v>
      </c>
      <c r="E34" s="22">
        <v>0</v>
      </c>
      <c r="F34" s="6">
        <v>0</v>
      </c>
      <c r="G34" s="6">
        <v>0</v>
      </c>
      <c r="H34" s="22">
        <v>17114</v>
      </c>
      <c r="I34" s="49">
        <v>17114</v>
      </c>
      <c r="J34" s="6">
        <v>0</v>
      </c>
      <c r="K34" s="22">
        <v>32981.076139176694</v>
      </c>
      <c r="L34" s="6">
        <v>32981.076139176694</v>
      </c>
    </row>
    <row r="35" spans="2:12" x14ac:dyDescent="0.25">
      <c r="B35" s="47" t="s">
        <v>74</v>
      </c>
      <c r="C35" s="6">
        <v>0</v>
      </c>
      <c r="D35" s="6">
        <v>45267</v>
      </c>
      <c r="E35" s="22">
        <v>0</v>
      </c>
      <c r="F35" s="6">
        <v>0</v>
      </c>
      <c r="G35" s="6">
        <v>0</v>
      </c>
      <c r="H35" s="22">
        <v>45267</v>
      </c>
      <c r="I35" s="49">
        <v>45267</v>
      </c>
      <c r="J35" s="6">
        <v>0</v>
      </c>
      <c r="K35" s="22">
        <v>90170.639971318044</v>
      </c>
      <c r="L35" s="6">
        <v>90170.639971318044</v>
      </c>
    </row>
    <row r="36" spans="2:12" x14ac:dyDescent="0.25">
      <c r="B36" s="50" t="s">
        <v>75</v>
      </c>
      <c r="C36" s="30">
        <v>13270.614318706697</v>
      </c>
      <c r="D36" s="30">
        <v>89</v>
      </c>
      <c r="E36" s="31">
        <v>6681.3856812933027</v>
      </c>
      <c r="F36" s="30">
        <v>0</v>
      </c>
      <c r="G36" s="30">
        <v>19952</v>
      </c>
      <c r="H36" s="31">
        <v>89</v>
      </c>
      <c r="I36" s="51">
        <v>20041</v>
      </c>
      <c r="J36" s="30">
        <v>137904.46862817305</v>
      </c>
      <c r="K36" s="31">
        <v>8996.8952211760534</v>
      </c>
      <c r="L36" s="30">
        <v>146901.36384934912</v>
      </c>
    </row>
    <row r="37" spans="2:12" x14ac:dyDescent="0.25">
      <c r="B37" s="47" t="s">
        <v>205</v>
      </c>
      <c r="C37" s="6">
        <v>212177.22837101042</v>
      </c>
      <c r="D37" s="6">
        <v>454953.96197593794</v>
      </c>
      <c r="E37" s="22">
        <v>119060.80965305165</v>
      </c>
      <c r="F37" s="6">
        <v>16533</v>
      </c>
      <c r="G37" s="6">
        <v>275052</v>
      </c>
      <c r="H37" s="22">
        <v>494607</v>
      </c>
      <c r="I37" s="49">
        <v>786192</v>
      </c>
      <c r="J37" s="6">
        <v>1467441.6445937005</v>
      </c>
      <c r="K37" s="22">
        <v>1499255.5474128874</v>
      </c>
      <c r="L37" s="6">
        <v>2966697.1920065889</v>
      </c>
    </row>
    <row r="40" spans="2:12" x14ac:dyDescent="0.25">
      <c r="B40" t="s">
        <v>206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7B38E-F372-4D6C-898A-D1860E9EA4E1}">
  <dimension ref="B2:L13"/>
  <sheetViews>
    <sheetView workbookViewId="0"/>
  </sheetViews>
  <sheetFormatPr defaultRowHeight="15" x14ac:dyDescent="0.25"/>
  <cols>
    <col min="3" max="12" width="10.28515625" customWidth="1"/>
  </cols>
  <sheetData>
    <row r="2" spans="2:12" x14ac:dyDescent="0.25">
      <c r="B2" s="1" t="s">
        <v>208</v>
      </c>
    </row>
    <row r="3" spans="2:12" ht="15.75" thickBot="1" x14ac:dyDescent="0.3">
      <c r="B3" s="41" t="s">
        <v>78</v>
      </c>
      <c r="C3" s="42" t="s">
        <v>94</v>
      </c>
      <c r="D3" s="42" t="s">
        <v>95</v>
      </c>
      <c r="E3" s="43" t="s">
        <v>199</v>
      </c>
      <c r="F3" s="42" t="s">
        <v>200</v>
      </c>
      <c r="G3" s="42" t="s">
        <v>201</v>
      </c>
      <c r="H3" s="43" t="s">
        <v>202</v>
      </c>
      <c r="I3" s="44" t="s">
        <v>98</v>
      </c>
      <c r="J3" s="42" t="s">
        <v>102</v>
      </c>
      <c r="K3" s="43" t="s">
        <v>103</v>
      </c>
      <c r="L3" s="45" t="s">
        <v>203</v>
      </c>
    </row>
    <row r="4" spans="2:12" x14ac:dyDescent="0.25">
      <c r="B4" s="46" t="s">
        <v>79</v>
      </c>
      <c r="C4" s="6">
        <v>39364</v>
      </c>
      <c r="D4" s="6">
        <v>60487</v>
      </c>
      <c r="E4" s="34">
        <v>0</v>
      </c>
      <c r="F4" s="6">
        <v>0</v>
      </c>
      <c r="G4" s="6">
        <v>30830</v>
      </c>
      <c r="H4" s="34">
        <v>69021</v>
      </c>
      <c r="I4" s="48">
        <v>99851</v>
      </c>
      <c r="J4" s="6">
        <v>164871.15067766144</v>
      </c>
      <c r="K4" s="34">
        <v>125890.92748025355</v>
      </c>
      <c r="L4" s="6">
        <v>290762.07815791498</v>
      </c>
    </row>
    <row r="5" spans="2:12" x14ac:dyDescent="0.25">
      <c r="B5" s="47" t="s">
        <v>80</v>
      </c>
      <c r="C5" s="6">
        <v>4375</v>
      </c>
      <c r="D5" s="6">
        <v>10539</v>
      </c>
      <c r="E5" s="22">
        <v>0</v>
      </c>
      <c r="F5" s="6">
        <v>315</v>
      </c>
      <c r="G5" s="6">
        <v>8096</v>
      </c>
      <c r="H5" s="22">
        <v>6503</v>
      </c>
      <c r="I5" s="49">
        <v>14914</v>
      </c>
      <c r="J5" s="6">
        <v>54603.277366501788</v>
      </c>
      <c r="K5" s="22">
        <v>55525.151652762434</v>
      </c>
      <c r="L5" s="6">
        <v>110128.42901926422</v>
      </c>
    </row>
    <row r="6" spans="2:12" x14ac:dyDescent="0.25">
      <c r="B6" s="47" t="s">
        <v>81</v>
      </c>
      <c r="C6" s="6">
        <v>16645.592497853282</v>
      </c>
      <c r="D6" s="6">
        <v>83447.386436758345</v>
      </c>
      <c r="E6" s="22">
        <v>20777.021065388384</v>
      </c>
      <c r="F6" s="6">
        <v>0</v>
      </c>
      <c r="G6" s="6">
        <v>49317</v>
      </c>
      <c r="H6" s="22">
        <v>71553</v>
      </c>
      <c r="I6" s="49">
        <v>120870</v>
      </c>
      <c r="J6" s="6">
        <v>196175.03903014009</v>
      </c>
      <c r="K6" s="22">
        <v>349406.14892663137</v>
      </c>
      <c r="L6" s="6">
        <v>545581.18795677146</v>
      </c>
    </row>
    <row r="7" spans="2:12" x14ac:dyDescent="0.25">
      <c r="B7" s="47" t="s">
        <v>82</v>
      </c>
      <c r="C7" s="6">
        <v>67160.635873157124</v>
      </c>
      <c r="D7" s="6">
        <v>65109.575539179619</v>
      </c>
      <c r="E7" s="22">
        <v>98283.788587663235</v>
      </c>
      <c r="F7" s="6">
        <v>15952</v>
      </c>
      <c r="G7" s="6">
        <v>174724</v>
      </c>
      <c r="H7" s="22">
        <v>39878</v>
      </c>
      <c r="I7" s="49">
        <v>230554</v>
      </c>
      <c r="J7" s="6">
        <v>720394.2349570964</v>
      </c>
      <c r="K7" s="22">
        <v>452355.44824936334</v>
      </c>
      <c r="L7" s="6">
        <v>1172749.6832064597</v>
      </c>
    </row>
    <row r="8" spans="2:12" x14ac:dyDescent="0.25">
      <c r="B8" s="47" t="s">
        <v>83</v>
      </c>
      <c r="C8" s="6">
        <v>0</v>
      </c>
      <c r="D8" s="6">
        <v>235371</v>
      </c>
      <c r="E8" s="22">
        <v>0</v>
      </c>
      <c r="F8" s="6">
        <v>0</v>
      </c>
      <c r="G8" s="6">
        <v>81</v>
      </c>
      <c r="H8" s="22">
        <v>235290</v>
      </c>
      <c r="I8" s="49">
        <v>235371</v>
      </c>
      <c r="J8" s="6">
        <v>0</v>
      </c>
      <c r="K8" s="22">
        <v>516077.87110387668</v>
      </c>
      <c r="L8" s="6">
        <v>516077.87110387668</v>
      </c>
    </row>
    <row r="9" spans="2:12" x14ac:dyDescent="0.25">
      <c r="B9" s="50" t="s">
        <v>84</v>
      </c>
      <c r="C9" s="30">
        <v>84632</v>
      </c>
      <c r="D9" s="30">
        <v>0</v>
      </c>
      <c r="E9" s="31">
        <v>0</v>
      </c>
      <c r="F9" s="30">
        <v>266</v>
      </c>
      <c r="G9" s="30">
        <v>12004</v>
      </c>
      <c r="H9" s="31">
        <v>72362</v>
      </c>
      <c r="I9" s="51">
        <v>84632</v>
      </c>
      <c r="J9" s="30">
        <v>331397.94256230112</v>
      </c>
      <c r="K9" s="31">
        <v>0</v>
      </c>
      <c r="L9" s="30">
        <v>331397.94256230112</v>
      </c>
    </row>
    <row r="10" spans="2:12" x14ac:dyDescent="0.25">
      <c r="B10" s="47" t="s">
        <v>205</v>
      </c>
      <c r="C10" s="6">
        <v>212177.22837101039</v>
      </c>
      <c r="D10" s="6">
        <v>454953.96197593794</v>
      </c>
      <c r="E10" s="22">
        <v>119060.80965305162</v>
      </c>
      <c r="F10" s="6">
        <v>16533</v>
      </c>
      <c r="G10" s="6">
        <v>275052</v>
      </c>
      <c r="H10" s="22">
        <v>494607</v>
      </c>
      <c r="I10" s="49">
        <v>786192</v>
      </c>
      <c r="J10" s="6">
        <v>1467441.6445937008</v>
      </c>
      <c r="K10" s="22">
        <v>1499255.5474128874</v>
      </c>
      <c r="L10" s="6">
        <v>2966697.1920065884</v>
      </c>
    </row>
    <row r="13" spans="2:12" x14ac:dyDescent="0.25">
      <c r="B13" t="s">
        <v>209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18A60-4143-4A18-B1D2-F7C2D9ACD76B}">
  <dimension ref="B2:Q37"/>
  <sheetViews>
    <sheetView workbookViewId="0"/>
  </sheetViews>
  <sheetFormatPr defaultRowHeight="15" x14ac:dyDescent="0.25"/>
  <cols>
    <col min="2" max="2" width="12" customWidth="1"/>
    <col min="3" max="3" width="15.85546875" bestFit="1" customWidth="1"/>
    <col min="4" max="8" width="15.85546875" customWidth="1"/>
    <col min="11" max="11" width="24.42578125" bestFit="1" customWidth="1"/>
    <col min="12" max="17" width="15.85546875" customWidth="1"/>
  </cols>
  <sheetData>
    <row r="2" spans="2:17" ht="15.75" thickBot="1" x14ac:dyDescent="0.3">
      <c r="B2" s="153" t="s">
        <v>807</v>
      </c>
      <c r="C2" s="153"/>
      <c r="D2" s="153"/>
      <c r="E2" s="153"/>
      <c r="F2" s="153"/>
      <c r="G2" s="153"/>
      <c r="H2" s="153"/>
      <c r="K2" s="153" t="s">
        <v>814</v>
      </c>
      <c r="L2" s="153"/>
      <c r="M2" s="153"/>
      <c r="N2" s="153"/>
      <c r="O2" s="153"/>
      <c r="P2" s="153"/>
      <c r="Q2" s="153"/>
    </row>
    <row r="3" spans="2:17" x14ac:dyDescent="0.25">
      <c r="B3" s="75" t="s">
        <v>41</v>
      </c>
      <c r="C3" s="77" t="s">
        <v>801</v>
      </c>
      <c r="D3" s="77" t="s">
        <v>802</v>
      </c>
      <c r="E3" s="77" t="s">
        <v>803</v>
      </c>
      <c r="F3" s="77" t="s">
        <v>804</v>
      </c>
      <c r="G3" s="77" t="s">
        <v>805</v>
      </c>
      <c r="H3" s="77" t="s">
        <v>806</v>
      </c>
      <c r="K3" s="75" t="s">
        <v>808</v>
      </c>
      <c r="L3" s="77" t="s">
        <v>801</v>
      </c>
      <c r="M3" s="77" t="s">
        <v>802</v>
      </c>
      <c r="N3" s="77" t="s">
        <v>803</v>
      </c>
      <c r="O3" s="77" t="s">
        <v>804</v>
      </c>
      <c r="P3" s="77" t="s">
        <v>805</v>
      </c>
      <c r="Q3" s="77" t="s">
        <v>806</v>
      </c>
    </row>
    <row r="4" spans="2:17" x14ac:dyDescent="0.25">
      <c r="B4" t="s">
        <v>43</v>
      </c>
      <c r="C4" s="6">
        <v>3406</v>
      </c>
      <c r="D4" s="6">
        <v>664</v>
      </c>
      <c r="E4" s="6">
        <v>1282</v>
      </c>
      <c r="F4" s="6">
        <v>1381</v>
      </c>
      <c r="G4" s="6">
        <v>129</v>
      </c>
      <c r="H4" s="6">
        <v>9729.5359733385612</v>
      </c>
      <c r="K4" t="s">
        <v>815</v>
      </c>
      <c r="L4" s="6">
        <v>412056.64</v>
      </c>
      <c r="M4" s="6">
        <v>26447.599999999999</v>
      </c>
      <c r="N4" s="6">
        <v>4134.04</v>
      </c>
      <c r="O4" s="6">
        <v>3674.07</v>
      </c>
      <c r="P4" s="6">
        <v>101.08000000000001</v>
      </c>
      <c r="Q4" s="6">
        <v>7879.3628359145259</v>
      </c>
    </row>
    <row r="5" spans="2:17" x14ac:dyDescent="0.25">
      <c r="B5" t="s">
        <v>44</v>
      </c>
      <c r="C5" s="6">
        <v>30119</v>
      </c>
      <c r="D5" s="6">
        <v>0</v>
      </c>
      <c r="E5" s="6">
        <v>1149</v>
      </c>
      <c r="F5" s="6">
        <v>303</v>
      </c>
      <c r="G5" s="6">
        <v>9</v>
      </c>
      <c r="H5" s="6">
        <v>738.36302685747899</v>
      </c>
      <c r="K5" t="s">
        <v>809</v>
      </c>
      <c r="L5" s="6">
        <v>81361.180000000008</v>
      </c>
      <c r="M5" s="6">
        <v>100.97</v>
      </c>
      <c r="N5" s="6">
        <v>3093.38</v>
      </c>
      <c r="O5" s="6">
        <v>1706.81</v>
      </c>
      <c r="P5" s="6">
        <v>191.1</v>
      </c>
      <c r="Q5" s="6">
        <v>4824.2519956871201</v>
      </c>
    </row>
    <row r="6" spans="2:17" x14ac:dyDescent="0.25">
      <c r="B6" t="s">
        <v>45</v>
      </c>
      <c r="C6" s="6">
        <v>100000</v>
      </c>
      <c r="D6" s="6">
        <v>85000</v>
      </c>
      <c r="E6" s="6">
        <v>1052</v>
      </c>
      <c r="F6" s="6">
        <v>18000</v>
      </c>
      <c r="G6" s="6">
        <v>40</v>
      </c>
      <c r="H6" s="6">
        <v>1905</v>
      </c>
      <c r="K6" t="s">
        <v>810</v>
      </c>
      <c r="L6" s="6">
        <v>243770.71000000005</v>
      </c>
      <c r="M6" s="6">
        <v>115486.87</v>
      </c>
      <c r="N6" s="6">
        <v>5773.0400000000009</v>
      </c>
      <c r="O6" s="6">
        <v>25665.559999999998</v>
      </c>
      <c r="P6" s="6">
        <v>526.78000000000009</v>
      </c>
      <c r="Q6" s="6">
        <v>12156.646763771809</v>
      </c>
    </row>
    <row r="7" spans="2:17" x14ac:dyDescent="0.25">
      <c r="B7" t="s">
        <v>46</v>
      </c>
      <c r="C7" s="6">
        <v>9869</v>
      </c>
      <c r="D7" s="6">
        <v>1</v>
      </c>
      <c r="E7" s="6">
        <v>477</v>
      </c>
      <c r="F7" s="6">
        <v>450</v>
      </c>
      <c r="G7" s="6">
        <v>120</v>
      </c>
      <c r="H7" s="6">
        <v>2704</v>
      </c>
      <c r="K7" t="s">
        <v>811</v>
      </c>
      <c r="L7" s="6">
        <v>206785.06</v>
      </c>
      <c r="M7" s="6">
        <v>68158.86</v>
      </c>
      <c r="N7" s="6">
        <v>11763.109999999999</v>
      </c>
      <c r="O7" s="6">
        <v>16879.29</v>
      </c>
      <c r="P7" s="6">
        <v>699.14999999999986</v>
      </c>
      <c r="Q7" s="6">
        <v>43242.827319055083</v>
      </c>
    </row>
    <row r="8" spans="2:17" x14ac:dyDescent="0.25">
      <c r="B8" t="s">
        <v>47</v>
      </c>
      <c r="C8" s="6">
        <v>59799</v>
      </c>
      <c r="D8" s="6">
        <v>62</v>
      </c>
      <c r="E8" s="6">
        <v>864</v>
      </c>
      <c r="F8" s="6">
        <v>657</v>
      </c>
      <c r="G8" s="6">
        <v>37</v>
      </c>
      <c r="H8" s="6">
        <v>1031.8920113703196</v>
      </c>
      <c r="K8" t="s">
        <v>812</v>
      </c>
      <c r="L8" s="6">
        <v>184698.11</v>
      </c>
      <c r="M8" s="6">
        <v>128650</v>
      </c>
      <c r="N8" s="6">
        <v>860.73</v>
      </c>
      <c r="O8" s="6">
        <v>2033.07</v>
      </c>
      <c r="P8" s="6">
        <v>16.489999999999998</v>
      </c>
      <c r="Q8" s="6">
        <v>69172.071710939024</v>
      </c>
    </row>
    <row r="9" spans="2:17" x14ac:dyDescent="0.25">
      <c r="B9" t="s">
        <v>48</v>
      </c>
      <c r="C9" s="6">
        <v>90724</v>
      </c>
      <c r="D9" s="6">
        <v>85000</v>
      </c>
      <c r="E9" s="6">
        <v>64</v>
      </c>
      <c r="F9" s="6">
        <v>17</v>
      </c>
      <c r="G9" s="6">
        <v>0</v>
      </c>
      <c r="H9" s="6">
        <v>3983</v>
      </c>
      <c r="K9" s="76" t="s">
        <v>813</v>
      </c>
      <c r="L9" s="30">
        <v>19601.3</v>
      </c>
      <c r="M9" s="30">
        <v>49.699999999999996</v>
      </c>
      <c r="N9" s="30">
        <v>1774.6999999999998</v>
      </c>
      <c r="O9" s="30">
        <v>5347.2</v>
      </c>
      <c r="P9" s="30">
        <v>68.400000000000006</v>
      </c>
      <c r="Q9" s="30">
        <v>9418.6</v>
      </c>
    </row>
    <row r="10" spans="2:17" x14ac:dyDescent="0.25">
      <c r="B10" t="s">
        <v>49</v>
      </c>
      <c r="C10" s="6">
        <v>27200</v>
      </c>
      <c r="D10" s="6">
        <v>3</v>
      </c>
      <c r="E10" s="6">
        <v>274</v>
      </c>
      <c r="F10" s="6">
        <v>621</v>
      </c>
      <c r="G10" s="6">
        <v>23</v>
      </c>
      <c r="H10" s="6">
        <v>397.94361889825518</v>
      </c>
      <c r="L10" s="6">
        <v>1148273.0000000002</v>
      </c>
      <c r="M10" s="6">
        <v>338894</v>
      </c>
      <c r="N10" s="6">
        <v>27399</v>
      </c>
      <c r="O10" s="6">
        <v>55305.999999999993</v>
      </c>
      <c r="P10" s="6">
        <v>1603</v>
      </c>
      <c r="Q10" s="6">
        <v>146693.76062536758</v>
      </c>
    </row>
    <row r="11" spans="2:17" x14ac:dyDescent="0.25">
      <c r="B11" t="s">
        <v>120</v>
      </c>
      <c r="C11" s="6">
        <v>60000</v>
      </c>
      <c r="D11" s="6">
        <v>33000</v>
      </c>
      <c r="E11" s="6">
        <v>1565</v>
      </c>
      <c r="F11" s="6">
        <v>1798</v>
      </c>
      <c r="G11" s="6">
        <v>55</v>
      </c>
      <c r="H11" s="6">
        <v>4908</v>
      </c>
    </row>
    <row r="12" spans="2:17" x14ac:dyDescent="0.25">
      <c r="B12" t="s">
        <v>51</v>
      </c>
      <c r="C12" s="6">
        <v>21838</v>
      </c>
      <c r="D12" s="6">
        <v>13000</v>
      </c>
      <c r="E12" s="6">
        <v>2000</v>
      </c>
      <c r="F12" s="6">
        <v>1035</v>
      </c>
      <c r="G12" s="6">
        <v>300</v>
      </c>
      <c r="H12" s="6">
        <v>2500</v>
      </c>
    </row>
    <row r="13" spans="2:17" x14ac:dyDescent="0.25">
      <c r="B13" t="s">
        <v>52</v>
      </c>
      <c r="C13" s="6">
        <v>24380</v>
      </c>
      <c r="D13" s="6">
        <v>13</v>
      </c>
      <c r="E13" s="6">
        <v>1229</v>
      </c>
      <c r="F13" s="6">
        <v>350</v>
      </c>
      <c r="G13" s="6">
        <v>21</v>
      </c>
      <c r="H13" s="6">
        <v>764.12371103705152</v>
      </c>
    </row>
    <row r="14" spans="2:17" x14ac:dyDescent="0.25">
      <c r="B14" t="s">
        <v>53</v>
      </c>
      <c r="C14" s="6">
        <v>26452.000000000004</v>
      </c>
      <c r="D14" s="6">
        <v>0</v>
      </c>
      <c r="E14" s="6">
        <v>334</v>
      </c>
      <c r="F14" s="6">
        <v>1892.0000000000002</v>
      </c>
      <c r="G14" s="6">
        <v>0</v>
      </c>
      <c r="H14" s="6">
        <v>477</v>
      </c>
    </row>
    <row r="15" spans="2:17" x14ac:dyDescent="0.25">
      <c r="B15" t="s">
        <v>54</v>
      </c>
      <c r="C15" s="6">
        <v>30999</v>
      </c>
      <c r="D15" s="6">
        <v>0</v>
      </c>
      <c r="E15" s="6">
        <v>300</v>
      </c>
      <c r="F15" s="6">
        <v>64</v>
      </c>
      <c r="G15" s="6">
        <v>0</v>
      </c>
      <c r="H15" s="6">
        <v>84.52695549892178</v>
      </c>
    </row>
    <row r="16" spans="2:17" x14ac:dyDescent="0.25">
      <c r="B16" t="s">
        <v>55</v>
      </c>
      <c r="C16" s="6">
        <v>26757</v>
      </c>
      <c r="D16" s="6">
        <v>10</v>
      </c>
      <c r="E16" s="6">
        <v>705</v>
      </c>
      <c r="F16" s="6">
        <v>245</v>
      </c>
      <c r="G16" s="6">
        <v>106</v>
      </c>
      <c r="H16" s="6">
        <v>245</v>
      </c>
    </row>
    <row r="17" spans="2:15" x14ac:dyDescent="0.25">
      <c r="B17" t="s">
        <v>56</v>
      </c>
      <c r="C17" s="6">
        <v>58830</v>
      </c>
      <c r="D17" s="6">
        <v>32000</v>
      </c>
      <c r="E17" s="6">
        <v>593</v>
      </c>
      <c r="F17" s="6">
        <v>1648</v>
      </c>
      <c r="G17" s="6">
        <v>0</v>
      </c>
      <c r="H17" s="6">
        <v>1494</v>
      </c>
    </row>
    <row r="18" spans="2:15" ht="15.75" thickBot="1" x14ac:dyDescent="0.3">
      <c r="B18" t="s">
        <v>57</v>
      </c>
      <c r="C18" s="6">
        <v>29464</v>
      </c>
      <c r="D18" s="6">
        <v>5</v>
      </c>
      <c r="E18" s="6">
        <v>1308</v>
      </c>
      <c r="F18" s="6">
        <v>3598</v>
      </c>
      <c r="G18" s="6">
        <v>32</v>
      </c>
      <c r="H18" s="6">
        <v>1513.2040482258381</v>
      </c>
      <c r="L18" s="153" t="s">
        <v>816</v>
      </c>
      <c r="M18" s="153"/>
      <c r="N18" s="153"/>
      <c r="O18" s="153"/>
    </row>
    <row r="19" spans="2:15" x14ac:dyDescent="0.25">
      <c r="B19" t="s">
        <v>58</v>
      </c>
      <c r="C19" s="6">
        <v>0</v>
      </c>
      <c r="D19" s="6">
        <v>0</v>
      </c>
      <c r="E19" s="6">
        <v>0</v>
      </c>
      <c r="F19" s="6">
        <v>0</v>
      </c>
      <c r="G19" s="6">
        <v>0</v>
      </c>
      <c r="H19" s="6">
        <v>0</v>
      </c>
      <c r="L19" s="75" t="s">
        <v>2</v>
      </c>
      <c r="M19" s="77" t="s">
        <v>18</v>
      </c>
      <c r="N19" s="77" t="s">
        <v>19</v>
      </c>
      <c r="O19" s="77" t="s">
        <v>20</v>
      </c>
    </row>
    <row r="20" spans="2:15" x14ac:dyDescent="0.25">
      <c r="B20" t="s">
        <v>59</v>
      </c>
      <c r="C20" s="6">
        <v>19000</v>
      </c>
      <c r="D20" s="6">
        <v>10856</v>
      </c>
      <c r="E20" s="6">
        <v>600</v>
      </c>
      <c r="F20" s="6">
        <v>200</v>
      </c>
      <c r="G20" s="6">
        <v>100</v>
      </c>
      <c r="H20" s="6">
        <v>647.74963732601452</v>
      </c>
      <c r="L20" t="s">
        <v>801</v>
      </c>
      <c r="M20" s="78">
        <v>2824.6124291507049</v>
      </c>
      <c r="N20" s="78">
        <v>10037.732710531624</v>
      </c>
      <c r="O20" s="78">
        <v>12862.345139682324</v>
      </c>
    </row>
    <row r="21" spans="2:15" x14ac:dyDescent="0.25">
      <c r="B21" t="s">
        <v>60</v>
      </c>
      <c r="C21" s="6">
        <v>7097</v>
      </c>
      <c r="D21" s="6">
        <v>0</v>
      </c>
      <c r="E21" s="6">
        <v>148</v>
      </c>
      <c r="F21" s="6">
        <v>1053</v>
      </c>
      <c r="G21" s="6">
        <v>4</v>
      </c>
      <c r="H21" s="6">
        <v>2334</v>
      </c>
      <c r="L21" t="s">
        <v>802</v>
      </c>
      <c r="M21" s="78">
        <v>272.88868875596478</v>
      </c>
      <c r="N21" s="78">
        <v>24829.617650603755</v>
      </c>
      <c r="O21" s="78">
        <v>25102.506339359723</v>
      </c>
    </row>
    <row r="22" spans="2:15" x14ac:dyDescent="0.25">
      <c r="B22" t="s">
        <v>61</v>
      </c>
      <c r="C22" s="6">
        <v>25000</v>
      </c>
      <c r="D22" s="6">
        <v>30</v>
      </c>
      <c r="E22" s="6">
        <v>1898</v>
      </c>
      <c r="F22" s="6">
        <v>1454</v>
      </c>
      <c r="G22" s="6">
        <v>15</v>
      </c>
      <c r="H22" s="6">
        <v>3000</v>
      </c>
      <c r="L22" t="s">
        <v>803</v>
      </c>
      <c r="M22" s="78">
        <v>19.37742948674866</v>
      </c>
      <c r="N22" s="78">
        <v>379.60435692362853</v>
      </c>
      <c r="O22" s="78">
        <v>398.98178641037714</v>
      </c>
    </row>
    <row r="23" spans="2:15" x14ac:dyDescent="0.25">
      <c r="B23" t="s">
        <v>62</v>
      </c>
      <c r="C23" s="6">
        <v>16500</v>
      </c>
      <c r="D23" s="6">
        <v>18</v>
      </c>
      <c r="E23" s="6">
        <v>1500</v>
      </c>
      <c r="F23" s="6">
        <v>400</v>
      </c>
      <c r="G23" s="6">
        <v>60</v>
      </c>
      <c r="H23" s="6">
        <v>1811</v>
      </c>
      <c r="L23" t="s">
        <v>804</v>
      </c>
      <c r="M23" s="78">
        <v>29.621579317606479</v>
      </c>
      <c r="N23" s="78">
        <v>106.6702861751462</v>
      </c>
      <c r="O23" s="78">
        <v>136.29186549275266</v>
      </c>
    </row>
    <row r="24" spans="2:15" x14ac:dyDescent="0.25">
      <c r="B24" t="s">
        <v>63</v>
      </c>
      <c r="C24" s="6">
        <v>41244.999999999993</v>
      </c>
      <c r="D24" s="6">
        <v>0</v>
      </c>
      <c r="E24" s="6">
        <v>635</v>
      </c>
      <c r="F24" s="6">
        <v>1000</v>
      </c>
      <c r="G24" s="6">
        <v>7</v>
      </c>
      <c r="H24" s="6">
        <v>1269.3022250539107</v>
      </c>
      <c r="L24" t="s">
        <v>805</v>
      </c>
      <c r="M24" s="78">
        <v>0.29222797230996705</v>
      </c>
      <c r="N24" s="78">
        <v>5.0945587741111629</v>
      </c>
      <c r="O24" s="78">
        <v>5.3867867464211301</v>
      </c>
    </row>
    <row r="25" spans="2:15" x14ac:dyDescent="0.25">
      <c r="B25" t="s">
        <v>64</v>
      </c>
      <c r="C25" s="6">
        <v>26713</v>
      </c>
      <c r="D25" s="6">
        <v>149</v>
      </c>
      <c r="E25" s="6">
        <v>895</v>
      </c>
      <c r="F25" s="6">
        <v>7032</v>
      </c>
      <c r="G25" s="6">
        <v>32</v>
      </c>
      <c r="H25" s="6">
        <v>6892</v>
      </c>
      <c r="L25" s="76" t="s">
        <v>806</v>
      </c>
      <c r="M25" s="79">
        <v>0.42577108673496233</v>
      </c>
      <c r="N25" s="79">
        <v>12.71971455301391</v>
      </c>
      <c r="O25" s="79">
        <v>13.14548563974887</v>
      </c>
    </row>
    <row r="26" spans="2:15" x14ac:dyDescent="0.25">
      <c r="B26" t="s">
        <v>65</v>
      </c>
      <c r="C26" s="6">
        <v>92291</v>
      </c>
      <c r="D26" s="6">
        <v>55000</v>
      </c>
      <c r="E26" s="6">
        <v>477</v>
      </c>
      <c r="F26" s="6">
        <v>1065</v>
      </c>
      <c r="G26" s="6">
        <v>17</v>
      </c>
      <c r="H26" s="6">
        <v>67677.207949421689</v>
      </c>
      <c r="M26" s="78">
        <v>3147.2181257700695</v>
      </c>
      <c r="N26" s="78">
        <v>35371.43927756128</v>
      </c>
      <c r="O26" s="78">
        <v>38518.657403331345</v>
      </c>
    </row>
    <row r="27" spans="2:15" x14ac:dyDescent="0.25">
      <c r="B27" t="s">
        <v>66</v>
      </c>
      <c r="C27" s="6">
        <v>7000</v>
      </c>
      <c r="D27" s="6">
        <v>0</v>
      </c>
      <c r="E27" s="6">
        <v>906</v>
      </c>
      <c r="F27" s="6">
        <v>1000</v>
      </c>
      <c r="G27" s="6">
        <v>0</v>
      </c>
      <c r="H27" s="6">
        <v>2762</v>
      </c>
    </row>
    <row r="28" spans="2:15" x14ac:dyDescent="0.25">
      <c r="B28" t="s">
        <v>67</v>
      </c>
      <c r="C28" s="6">
        <v>9468</v>
      </c>
      <c r="D28" s="6">
        <v>5</v>
      </c>
      <c r="E28" s="6">
        <v>1386</v>
      </c>
      <c r="F28" s="6">
        <v>2927</v>
      </c>
      <c r="G28" s="6">
        <v>58</v>
      </c>
      <c r="H28" s="6">
        <v>6608</v>
      </c>
    </row>
    <row r="29" spans="2:15" x14ac:dyDescent="0.25">
      <c r="B29" t="s">
        <v>68</v>
      </c>
      <c r="C29" s="6">
        <v>2250</v>
      </c>
      <c r="D29" s="6">
        <v>14</v>
      </c>
      <c r="E29" s="6">
        <v>50</v>
      </c>
      <c r="F29" s="6">
        <v>636</v>
      </c>
      <c r="G29" s="6">
        <v>108</v>
      </c>
      <c r="H29" s="6">
        <v>2899</v>
      </c>
      <c r="L29" t="s">
        <v>28</v>
      </c>
    </row>
    <row r="30" spans="2:15" x14ac:dyDescent="0.25">
      <c r="B30" t="s">
        <v>69</v>
      </c>
      <c r="C30" s="6">
        <v>7098</v>
      </c>
      <c r="D30" s="6">
        <v>70</v>
      </c>
      <c r="E30" s="6">
        <v>1004</v>
      </c>
      <c r="F30" s="6">
        <v>530</v>
      </c>
      <c r="G30" s="6">
        <v>0</v>
      </c>
      <c r="H30" s="6">
        <v>3951.4501274259947</v>
      </c>
    </row>
    <row r="31" spans="2:15" x14ac:dyDescent="0.25">
      <c r="B31" t="s">
        <v>70</v>
      </c>
      <c r="C31" s="6">
        <v>20000</v>
      </c>
      <c r="D31" s="6">
        <v>2060</v>
      </c>
      <c r="E31" s="6">
        <v>600.99999999999989</v>
      </c>
      <c r="F31" s="6">
        <v>168.99999999999997</v>
      </c>
      <c r="G31" s="6">
        <v>75</v>
      </c>
      <c r="H31" s="6">
        <v>1969</v>
      </c>
    </row>
    <row r="32" spans="2:15" x14ac:dyDescent="0.25">
      <c r="B32" t="s">
        <v>71</v>
      </c>
      <c r="C32" s="6">
        <v>3541</v>
      </c>
      <c r="D32" s="6">
        <v>12000</v>
      </c>
      <c r="E32" s="6">
        <v>650</v>
      </c>
      <c r="F32" s="6">
        <v>450</v>
      </c>
      <c r="G32" s="6">
        <v>23</v>
      </c>
      <c r="H32" s="6">
        <v>1081.4613409135463</v>
      </c>
    </row>
    <row r="33" spans="2:8" x14ac:dyDescent="0.25">
      <c r="B33" t="s">
        <v>72</v>
      </c>
      <c r="C33" s="6">
        <v>5853</v>
      </c>
      <c r="D33" s="6">
        <v>30</v>
      </c>
      <c r="E33" s="6">
        <v>954</v>
      </c>
      <c r="F33" s="6">
        <v>1684</v>
      </c>
      <c r="G33" s="6">
        <v>43</v>
      </c>
      <c r="H33" s="6">
        <v>3344</v>
      </c>
    </row>
    <row r="34" spans="2:8" x14ac:dyDescent="0.25">
      <c r="B34" t="s">
        <v>73</v>
      </c>
      <c r="C34" s="6">
        <v>29658</v>
      </c>
      <c r="D34" s="6">
        <v>1404</v>
      </c>
      <c r="E34" s="6">
        <v>669</v>
      </c>
      <c r="F34" s="6">
        <v>2412</v>
      </c>
      <c r="G34" s="6">
        <v>143</v>
      </c>
      <c r="H34" s="6">
        <v>1283</v>
      </c>
    </row>
    <row r="35" spans="2:8" x14ac:dyDescent="0.25">
      <c r="B35" t="s">
        <v>74</v>
      </c>
      <c r="C35" s="6">
        <v>227298</v>
      </c>
      <c r="D35" s="6">
        <v>0</v>
      </c>
      <c r="E35" s="6">
        <v>432</v>
      </c>
      <c r="F35" s="6">
        <v>21</v>
      </c>
      <c r="G35" s="6">
        <v>0</v>
      </c>
      <c r="H35" s="6">
        <v>207</v>
      </c>
    </row>
    <row r="36" spans="2:8" x14ac:dyDescent="0.25">
      <c r="B36" s="76" t="s">
        <v>75</v>
      </c>
      <c r="C36" s="30">
        <v>8424</v>
      </c>
      <c r="D36" s="30">
        <v>8500</v>
      </c>
      <c r="E36" s="30">
        <v>1398</v>
      </c>
      <c r="F36" s="30">
        <v>1214</v>
      </c>
      <c r="G36" s="30">
        <v>46</v>
      </c>
      <c r="H36" s="30">
        <v>6482</v>
      </c>
    </row>
    <row r="37" spans="2:8" x14ac:dyDescent="0.25">
      <c r="C37" s="6">
        <v>1148273</v>
      </c>
      <c r="D37" s="6">
        <v>338894</v>
      </c>
      <c r="E37" s="6">
        <v>27399</v>
      </c>
      <c r="F37" s="6">
        <v>55306</v>
      </c>
      <c r="G37" s="6">
        <v>1603</v>
      </c>
      <c r="H37" s="6">
        <v>146693.76062536758</v>
      </c>
    </row>
  </sheetData>
  <mergeCells count="3">
    <mergeCell ref="B2:H2"/>
    <mergeCell ref="K2:Q2"/>
    <mergeCell ref="L18:O1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2144C-1FD5-4229-ADD4-40EEA1BCAAFE}">
  <dimension ref="A1:P396"/>
  <sheetViews>
    <sheetView workbookViewId="0">
      <selection activeCell="J2" sqref="J2"/>
    </sheetView>
  </sheetViews>
  <sheetFormatPr defaultRowHeight="15" outlineLevelRow="2" x14ac:dyDescent="0.25"/>
  <cols>
    <col min="1" max="1" width="11.7109375" customWidth="1"/>
    <col min="2" max="2" width="24.42578125" bestFit="1" customWidth="1"/>
    <col min="3" max="3" width="17.7109375" customWidth="1"/>
    <col min="4" max="4" width="11.28515625" style="66" customWidth="1"/>
    <col min="5" max="5" width="8.85546875" style="11"/>
    <col min="6" max="8" width="8.85546875" style="151"/>
  </cols>
  <sheetData>
    <row r="1" spans="1:16" x14ac:dyDescent="0.25">
      <c r="A1" t="s">
        <v>977</v>
      </c>
    </row>
    <row r="2" spans="1:16" ht="15.75" thickBot="1" x14ac:dyDescent="0.3">
      <c r="A2" s="149" t="s">
        <v>41</v>
      </c>
      <c r="B2" s="149" t="s">
        <v>78</v>
      </c>
      <c r="C2" s="149" t="s">
        <v>86</v>
      </c>
      <c r="D2" s="150" t="s">
        <v>975</v>
      </c>
      <c r="E2" s="149" t="s">
        <v>88</v>
      </c>
      <c r="F2" s="152" t="s">
        <v>18</v>
      </c>
      <c r="G2" s="152" t="s">
        <v>19</v>
      </c>
      <c r="H2" s="152" t="s">
        <v>940</v>
      </c>
    </row>
    <row r="3" spans="1:16" ht="15.75" outlineLevel="2" thickTop="1" x14ac:dyDescent="0.25">
      <c r="A3" t="s">
        <v>43</v>
      </c>
      <c r="B3" t="s">
        <v>811</v>
      </c>
      <c r="C3" t="s">
        <v>801</v>
      </c>
      <c r="D3" s="66">
        <v>3406</v>
      </c>
      <c r="E3" s="11">
        <v>10</v>
      </c>
      <c r="F3" s="151">
        <v>13.353271949279744</v>
      </c>
      <c r="G3" s="151">
        <v>24.798933620090956</v>
      </c>
      <c r="H3" s="151">
        <v>38.1522055693707</v>
      </c>
    </row>
    <row r="4" spans="1:16" outlineLevel="2" x14ac:dyDescent="0.25">
      <c r="A4" t="s">
        <v>43</v>
      </c>
      <c r="B4" t="s">
        <v>811</v>
      </c>
      <c r="C4" t="s">
        <v>802</v>
      </c>
      <c r="D4" s="66">
        <v>664</v>
      </c>
      <c r="E4" s="11">
        <v>65</v>
      </c>
      <c r="F4" s="151">
        <v>16.920940027331586</v>
      </c>
      <c r="G4" s="151">
        <v>31.424602907901519</v>
      </c>
      <c r="H4" s="151">
        <v>48.345542935233105</v>
      </c>
    </row>
    <row r="5" spans="1:16" outlineLevel="2" x14ac:dyDescent="0.25">
      <c r="A5" t="s">
        <v>43</v>
      </c>
      <c r="B5" t="s">
        <v>811</v>
      </c>
      <c r="C5" t="s">
        <v>803</v>
      </c>
      <c r="D5" s="66">
        <v>1282</v>
      </c>
      <c r="E5" s="11">
        <v>13</v>
      </c>
      <c r="F5" s="151">
        <v>6.5339292515177991</v>
      </c>
      <c r="G5" s="151">
        <v>12.134440038533056</v>
      </c>
      <c r="H5" s="151">
        <v>18.668369290050855</v>
      </c>
      <c r="K5" s="154" t="s">
        <v>978</v>
      </c>
      <c r="L5" s="154"/>
      <c r="M5" s="154"/>
      <c r="N5" s="154"/>
      <c r="O5" s="154"/>
      <c r="P5" s="154"/>
    </row>
    <row r="6" spans="1:16" outlineLevel="2" x14ac:dyDescent="0.25">
      <c r="A6" t="s">
        <v>43</v>
      </c>
      <c r="B6" t="s">
        <v>811</v>
      </c>
      <c r="C6" t="s">
        <v>804</v>
      </c>
      <c r="D6" s="66">
        <v>1381</v>
      </c>
      <c r="E6" s="11">
        <v>2.2000000000000002</v>
      </c>
      <c r="F6" s="151">
        <v>1.1911306763447365</v>
      </c>
      <c r="G6" s="151">
        <v>2.2120998274973678</v>
      </c>
      <c r="H6" s="151">
        <v>3.4032305038421042</v>
      </c>
      <c r="K6" s="154"/>
      <c r="L6" s="154"/>
      <c r="M6" s="154"/>
      <c r="N6" s="154"/>
      <c r="O6" s="154"/>
      <c r="P6" s="154"/>
    </row>
    <row r="7" spans="1:16" outlineLevel="2" x14ac:dyDescent="0.25">
      <c r="A7" t="s">
        <v>43</v>
      </c>
      <c r="B7" t="s">
        <v>811</v>
      </c>
      <c r="C7" t="s">
        <v>805</v>
      </c>
      <c r="D7" s="66">
        <v>129</v>
      </c>
      <c r="E7" s="11">
        <v>3</v>
      </c>
      <c r="F7" s="151">
        <v>0.15172390617649034</v>
      </c>
      <c r="G7" s="151">
        <v>0.28177296861348211</v>
      </c>
      <c r="H7" s="151">
        <v>0.43349687478997245</v>
      </c>
      <c r="K7" s="154"/>
      <c r="L7" s="154"/>
      <c r="M7" s="154"/>
      <c r="N7" s="154"/>
      <c r="O7" s="154"/>
      <c r="P7" s="154"/>
    </row>
    <row r="8" spans="1:16" outlineLevel="2" x14ac:dyDescent="0.25">
      <c r="A8" t="s">
        <v>43</v>
      </c>
      <c r="B8" t="s">
        <v>811</v>
      </c>
      <c r="C8" t="s">
        <v>806</v>
      </c>
      <c r="D8" s="66">
        <v>9729.5359733385612</v>
      </c>
      <c r="E8" s="11">
        <v>0.08</v>
      </c>
      <c r="F8" s="151">
        <v>0.30515828489087493</v>
      </c>
      <c r="G8" s="151">
        <v>0.56672252908305354</v>
      </c>
      <c r="H8" s="151">
        <v>0.87188081397392847</v>
      </c>
    </row>
    <row r="9" spans="1:16" outlineLevel="1" x14ac:dyDescent="0.25">
      <c r="A9" s="1" t="s">
        <v>941</v>
      </c>
      <c r="F9" s="151">
        <f>SUBTOTAL(9,F3:F8)</f>
        <v>38.45615409554123</v>
      </c>
      <c r="G9" s="151">
        <f>SUBTOTAL(9,G3:G8)</f>
        <v>71.418571891719438</v>
      </c>
      <c r="H9" s="151">
        <f>SUBTOTAL(9,H3:H8)</f>
        <v>109.87472598726067</v>
      </c>
    </row>
    <row r="10" spans="1:16" outlineLevel="2" x14ac:dyDescent="0.25">
      <c r="A10" t="s">
        <v>44</v>
      </c>
      <c r="B10" t="s">
        <v>809</v>
      </c>
      <c r="C10" t="s">
        <v>801</v>
      </c>
      <c r="D10" s="66">
        <v>30119</v>
      </c>
      <c r="E10" s="11">
        <v>10</v>
      </c>
      <c r="F10" s="151">
        <v>236.16394470954589</v>
      </c>
      <c r="G10" s="151">
        <v>101.21311916123396</v>
      </c>
      <c r="H10" s="151">
        <v>337.37706387077986</v>
      </c>
    </row>
    <row r="11" spans="1:16" outlineLevel="2" x14ac:dyDescent="0.25">
      <c r="A11" t="s">
        <v>44</v>
      </c>
      <c r="B11" t="s">
        <v>809</v>
      </c>
      <c r="C11" t="s">
        <v>802</v>
      </c>
      <c r="D11" s="66">
        <v>0</v>
      </c>
      <c r="E11" s="11">
        <v>65</v>
      </c>
      <c r="F11" s="151">
        <v>0</v>
      </c>
      <c r="G11" s="151">
        <v>0</v>
      </c>
      <c r="H11" s="151">
        <v>0</v>
      </c>
    </row>
    <row r="12" spans="1:16" outlineLevel="2" x14ac:dyDescent="0.25">
      <c r="A12" t="s">
        <v>44</v>
      </c>
      <c r="B12" t="s">
        <v>809</v>
      </c>
      <c r="C12" t="s">
        <v>803</v>
      </c>
      <c r="D12" s="66">
        <v>1149</v>
      </c>
      <c r="E12" s="11">
        <v>13</v>
      </c>
      <c r="F12" s="151">
        <v>11.712144633375898</v>
      </c>
      <c r="G12" s="151">
        <v>5.0194905571610997</v>
      </c>
      <c r="H12" s="151">
        <v>16.731635190536998</v>
      </c>
    </row>
    <row r="13" spans="1:16" outlineLevel="2" x14ac:dyDescent="0.25">
      <c r="A13" t="s">
        <v>44</v>
      </c>
      <c r="B13" t="s">
        <v>809</v>
      </c>
      <c r="C13" t="s">
        <v>804</v>
      </c>
      <c r="D13" s="66">
        <v>303</v>
      </c>
      <c r="E13" s="11">
        <v>2.2000000000000002</v>
      </c>
      <c r="F13" s="151">
        <v>0.52268297600645208</v>
      </c>
      <c r="G13" s="151">
        <v>0.22400698971705088</v>
      </c>
      <c r="H13" s="151">
        <v>0.74668996572350299</v>
      </c>
    </row>
    <row r="14" spans="1:16" outlineLevel="2" x14ac:dyDescent="0.25">
      <c r="A14" t="s">
        <v>44</v>
      </c>
      <c r="B14" t="s">
        <v>809</v>
      </c>
      <c r="C14" t="s">
        <v>805</v>
      </c>
      <c r="D14" s="66">
        <v>9</v>
      </c>
      <c r="E14" s="11">
        <v>3</v>
      </c>
      <c r="F14" s="151">
        <v>2.1170777606021908E-2</v>
      </c>
      <c r="G14" s="151">
        <v>9.0731904025808177E-3</v>
      </c>
      <c r="H14" s="151">
        <v>3.0243968008602729E-2</v>
      </c>
    </row>
    <row r="15" spans="1:16" outlineLevel="2" x14ac:dyDescent="0.25">
      <c r="A15" t="s">
        <v>44</v>
      </c>
      <c r="B15" t="s">
        <v>809</v>
      </c>
      <c r="C15" t="s">
        <v>806</v>
      </c>
      <c r="D15" s="66">
        <v>738.36302685747899</v>
      </c>
      <c r="E15" s="11">
        <v>0.08</v>
      </c>
      <c r="F15" s="151">
        <v>4.631620573069295E-2</v>
      </c>
      <c r="G15" s="151">
        <v>1.9849802456011267E-2</v>
      </c>
      <c r="H15" s="151">
        <v>6.616600818670422E-2</v>
      </c>
    </row>
    <row r="16" spans="1:16" outlineLevel="2" x14ac:dyDescent="0.25">
      <c r="A16" t="s">
        <v>44</v>
      </c>
      <c r="B16" t="s">
        <v>811</v>
      </c>
      <c r="C16" t="s">
        <v>801</v>
      </c>
      <c r="D16" s="66">
        <v>0</v>
      </c>
      <c r="E16" s="11">
        <v>10</v>
      </c>
      <c r="F16" s="151">
        <v>0</v>
      </c>
      <c r="G16" s="151">
        <v>0</v>
      </c>
      <c r="H16" s="151">
        <v>0</v>
      </c>
    </row>
    <row r="17" spans="1:8" outlineLevel="2" x14ac:dyDescent="0.25">
      <c r="A17" t="s">
        <v>44</v>
      </c>
      <c r="B17" t="s">
        <v>811</v>
      </c>
      <c r="C17" t="s">
        <v>802</v>
      </c>
      <c r="D17" s="66">
        <v>0</v>
      </c>
      <c r="E17" s="11">
        <v>65</v>
      </c>
      <c r="F17" s="151">
        <v>0</v>
      </c>
      <c r="G17" s="151">
        <v>0</v>
      </c>
      <c r="H17" s="151">
        <v>0</v>
      </c>
    </row>
    <row r="18" spans="1:8" outlineLevel="2" x14ac:dyDescent="0.25">
      <c r="A18" t="s">
        <v>44</v>
      </c>
      <c r="B18" t="s">
        <v>811</v>
      </c>
      <c r="C18" t="s">
        <v>803</v>
      </c>
      <c r="D18" s="66">
        <v>0</v>
      </c>
      <c r="E18" s="11">
        <v>13</v>
      </c>
      <c r="F18" s="151">
        <v>0</v>
      </c>
      <c r="G18" s="151">
        <v>0</v>
      </c>
      <c r="H18" s="151">
        <v>0</v>
      </c>
    </row>
    <row r="19" spans="1:8" outlineLevel="2" x14ac:dyDescent="0.25">
      <c r="A19" t="s">
        <v>44</v>
      </c>
      <c r="B19" t="s">
        <v>811</v>
      </c>
      <c r="C19" t="s">
        <v>804</v>
      </c>
      <c r="D19" s="66">
        <v>0</v>
      </c>
      <c r="E19" s="11">
        <v>2.2000000000000002</v>
      </c>
      <c r="F19" s="151">
        <v>0</v>
      </c>
      <c r="G19" s="151">
        <v>0</v>
      </c>
      <c r="H19" s="151">
        <v>0</v>
      </c>
    </row>
    <row r="20" spans="1:8" outlineLevel="2" x14ac:dyDescent="0.25">
      <c r="A20" t="s">
        <v>44</v>
      </c>
      <c r="B20" t="s">
        <v>811</v>
      </c>
      <c r="C20" t="s">
        <v>805</v>
      </c>
      <c r="D20" s="66">
        <v>0</v>
      </c>
      <c r="E20" s="11">
        <v>3</v>
      </c>
      <c r="F20" s="151">
        <v>0</v>
      </c>
      <c r="G20" s="151">
        <v>0</v>
      </c>
      <c r="H20" s="151">
        <v>0</v>
      </c>
    </row>
    <row r="21" spans="1:8" outlineLevel="2" x14ac:dyDescent="0.25">
      <c r="A21" t="s">
        <v>44</v>
      </c>
      <c r="B21" t="s">
        <v>811</v>
      </c>
      <c r="C21" t="s">
        <v>806</v>
      </c>
      <c r="D21" s="66">
        <v>0</v>
      </c>
      <c r="E21" s="11">
        <v>0.08</v>
      </c>
      <c r="F21" s="151">
        <v>0</v>
      </c>
      <c r="G21" s="151">
        <v>0</v>
      </c>
      <c r="H21" s="151">
        <v>0</v>
      </c>
    </row>
    <row r="22" spans="1:8" outlineLevel="1" x14ac:dyDescent="0.25">
      <c r="A22" s="1" t="s">
        <v>942</v>
      </c>
      <c r="F22" s="151">
        <f>SUBTOTAL(9,F10:F21)</f>
        <v>248.46625930226494</v>
      </c>
      <c r="G22" s="151">
        <f>SUBTOTAL(9,G10:G21)</f>
        <v>106.4855397009707</v>
      </c>
      <c r="H22" s="151">
        <f>SUBTOTAL(9,H10:H21)</f>
        <v>354.95179900323569</v>
      </c>
    </row>
    <row r="23" spans="1:8" outlineLevel="2" x14ac:dyDescent="0.25">
      <c r="A23" t="s">
        <v>45</v>
      </c>
      <c r="B23" t="s">
        <v>810</v>
      </c>
      <c r="C23" t="s">
        <v>801</v>
      </c>
      <c r="D23" s="66">
        <v>100000</v>
      </c>
      <c r="E23" s="11">
        <v>10</v>
      </c>
      <c r="F23" s="151">
        <v>224.0293926563165</v>
      </c>
      <c r="G23" s="151">
        <v>896.11757062526601</v>
      </c>
      <c r="H23" s="151">
        <v>1120.1469632815824</v>
      </c>
    </row>
    <row r="24" spans="1:8" outlineLevel="2" x14ac:dyDescent="0.25">
      <c r="A24" t="s">
        <v>45</v>
      </c>
      <c r="B24" t="s">
        <v>810</v>
      </c>
      <c r="C24" t="s">
        <v>802</v>
      </c>
      <c r="D24" s="66">
        <v>85000</v>
      </c>
      <c r="E24" s="11">
        <v>65</v>
      </c>
      <c r="F24" s="151">
        <v>0</v>
      </c>
      <c r="G24" s="151">
        <v>6188.8119721307439</v>
      </c>
      <c r="H24" s="151">
        <v>6188.8119721307439</v>
      </c>
    </row>
    <row r="25" spans="1:8" outlineLevel="2" x14ac:dyDescent="0.25">
      <c r="A25" t="s">
        <v>45</v>
      </c>
      <c r="B25" t="s">
        <v>810</v>
      </c>
      <c r="C25" t="s">
        <v>803</v>
      </c>
      <c r="D25" s="66">
        <v>1052</v>
      </c>
      <c r="E25" s="11">
        <v>13</v>
      </c>
      <c r="F25" s="151">
        <v>0</v>
      </c>
      <c r="G25" s="151">
        <v>15.319129869838923</v>
      </c>
      <c r="H25" s="151">
        <v>15.319129869838923</v>
      </c>
    </row>
    <row r="26" spans="1:8" outlineLevel="2" x14ac:dyDescent="0.25">
      <c r="A26" t="s">
        <v>45</v>
      </c>
      <c r="B26" t="s">
        <v>810</v>
      </c>
      <c r="C26" t="s">
        <v>804</v>
      </c>
      <c r="D26" s="66">
        <v>18000</v>
      </c>
      <c r="E26" s="11">
        <v>2.2000000000000002</v>
      </c>
      <c r="F26" s="151">
        <v>0</v>
      </c>
      <c r="G26" s="151">
        <v>44.357819745950671</v>
      </c>
      <c r="H26" s="151">
        <v>44.357819745950671</v>
      </c>
    </row>
    <row r="27" spans="1:8" outlineLevel="2" x14ac:dyDescent="0.25">
      <c r="A27" t="s">
        <v>45</v>
      </c>
      <c r="B27" t="s">
        <v>810</v>
      </c>
      <c r="C27" t="s">
        <v>805</v>
      </c>
      <c r="D27" s="66">
        <v>40</v>
      </c>
      <c r="E27" s="11">
        <v>3</v>
      </c>
      <c r="F27" s="151">
        <v>0</v>
      </c>
      <c r="G27" s="151">
        <v>0.13441763559378991</v>
      </c>
      <c r="H27" s="151">
        <v>0.13441763559378991</v>
      </c>
    </row>
    <row r="28" spans="1:8" outlineLevel="2" x14ac:dyDescent="0.25">
      <c r="A28" t="s">
        <v>45</v>
      </c>
      <c r="B28" t="s">
        <v>810</v>
      </c>
      <c r="C28" t="s">
        <v>806</v>
      </c>
      <c r="D28" s="66">
        <v>1905</v>
      </c>
      <c r="E28" s="11">
        <v>0.08</v>
      </c>
      <c r="F28" s="151">
        <v>0</v>
      </c>
      <c r="G28" s="151">
        <v>0.17071039720411318</v>
      </c>
      <c r="H28" s="151">
        <v>0.17071039720411318</v>
      </c>
    </row>
    <row r="29" spans="1:8" outlineLevel="2" x14ac:dyDescent="0.25">
      <c r="A29" t="s">
        <v>45</v>
      </c>
      <c r="B29" t="s">
        <v>811</v>
      </c>
      <c r="C29" t="s">
        <v>801</v>
      </c>
      <c r="D29" s="66">
        <v>0</v>
      </c>
      <c r="E29" s="11">
        <v>10</v>
      </c>
      <c r="F29" s="151">
        <v>0</v>
      </c>
      <c r="G29" s="151">
        <v>0</v>
      </c>
      <c r="H29" s="151">
        <v>0</v>
      </c>
    </row>
    <row r="30" spans="1:8" outlineLevel="2" x14ac:dyDescent="0.25">
      <c r="A30" t="s">
        <v>45</v>
      </c>
      <c r="B30" t="s">
        <v>811</v>
      </c>
      <c r="C30" t="s">
        <v>802</v>
      </c>
      <c r="D30" s="66">
        <v>0</v>
      </c>
      <c r="E30" s="11">
        <v>65</v>
      </c>
      <c r="F30" s="151">
        <v>0</v>
      </c>
      <c r="G30" s="151">
        <v>0</v>
      </c>
      <c r="H30" s="151">
        <v>0</v>
      </c>
    </row>
    <row r="31" spans="1:8" outlineLevel="2" x14ac:dyDescent="0.25">
      <c r="A31" t="s">
        <v>45</v>
      </c>
      <c r="B31" t="s">
        <v>811</v>
      </c>
      <c r="C31" t="s">
        <v>803</v>
      </c>
      <c r="D31" s="66">
        <v>0</v>
      </c>
      <c r="E31" s="11">
        <v>13</v>
      </c>
      <c r="F31" s="151">
        <v>0</v>
      </c>
      <c r="G31" s="151">
        <v>0</v>
      </c>
      <c r="H31" s="151">
        <v>0</v>
      </c>
    </row>
    <row r="32" spans="1:8" outlineLevel="2" x14ac:dyDescent="0.25">
      <c r="A32" t="s">
        <v>45</v>
      </c>
      <c r="B32" t="s">
        <v>811</v>
      </c>
      <c r="C32" t="s">
        <v>804</v>
      </c>
      <c r="D32" s="66">
        <v>0</v>
      </c>
      <c r="E32" s="11">
        <v>2.2000000000000002</v>
      </c>
      <c r="F32" s="151">
        <v>0</v>
      </c>
      <c r="G32" s="151">
        <v>0</v>
      </c>
      <c r="H32" s="151">
        <v>0</v>
      </c>
    </row>
    <row r="33" spans="1:8" outlineLevel="2" x14ac:dyDescent="0.25">
      <c r="A33" t="s">
        <v>45</v>
      </c>
      <c r="B33" t="s">
        <v>811</v>
      </c>
      <c r="C33" t="s">
        <v>805</v>
      </c>
      <c r="D33" s="66">
        <v>0</v>
      </c>
      <c r="E33" s="11">
        <v>3</v>
      </c>
      <c r="F33" s="151">
        <v>0</v>
      </c>
      <c r="G33" s="151">
        <v>0</v>
      </c>
      <c r="H33" s="151">
        <v>0</v>
      </c>
    </row>
    <row r="34" spans="1:8" outlineLevel="2" x14ac:dyDescent="0.25">
      <c r="A34" t="s">
        <v>45</v>
      </c>
      <c r="B34" t="s">
        <v>811</v>
      </c>
      <c r="C34" t="s">
        <v>806</v>
      </c>
      <c r="D34" s="66">
        <v>0</v>
      </c>
      <c r="E34" s="11">
        <v>0.08</v>
      </c>
      <c r="F34" s="151">
        <v>0</v>
      </c>
      <c r="G34" s="151">
        <v>0</v>
      </c>
      <c r="H34" s="151">
        <v>0</v>
      </c>
    </row>
    <row r="35" spans="1:8" outlineLevel="2" x14ac:dyDescent="0.25">
      <c r="A35" t="s">
        <v>45</v>
      </c>
      <c r="B35" t="s">
        <v>812</v>
      </c>
      <c r="C35" t="s">
        <v>801</v>
      </c>
      <c r="D35" s="66">
        <v>0</v>
      </c>
      <c r="E35" s="11">
        <v>10</v>
      </c>
      <c r="F35" s="151">
        <v>0</v>
      </c>
      <c r="G35" s="151">
        <v>0</v>
      </c>
      <c r="H35" s="151">
        <v>0</v>
      </c>
    </row>
    <row r="36" spans="1:8" outlineLevel="2" x14ac:dyDescent="0.25">
      <c r="A36" t="s">
        <v>45</v>
      </c>
      <c r="B36" t="s">
        <v>812</v>
      </c>
      <c r="C36" t="s">
        <v>802</v>
      </c>
      <c r="D36" s="66">
        <v>0</v>
      </c>
      <c r="E36" s="11">
        <v>65</v>
      </c>
      <c r="F36" s="151">
        <v>0</v>
      </c>
      <c r="G36" s="151">
        <v>0</v>
      </c>
      <c r="H36" s="151">
        <v>0</v>
      </c>
    </row>
    <row r="37" spans="1:8" outlineLevel="2" x14ac:dyDescent="0.25">
      <c r="A37" t="s">
        <v>45</v>
      </c>
      <c r="B37" t="s">
        <v>812</v>
      </c>
      <c r="C37" t="s">
        <v>803</v>
      </c>
      <c r="D37" s="66">
        <v>0</v>
      </c>
      <c r="E37" s="11">
        <v>13</v>
      </c>
      <c r="F37" s="151">
        <v>0</v>
      </c>
      <c r="G37" s="151">
        <v>0</v>
      </c>
      <c r="H37" s="151">
        <v>0</v>
      </c>
    </row>
    <row r="38" spans="1:8" outlineLevel="2" x14ac:dyDescent="0.25">
      <c r="A38" t="s">
        <v>45</v>
      </c>
      <c r="B38" t="s">
        <v>812</v>
      </c>
      <c r="C38" t="s">
        <v>804</v>
      </c>
      <c r="D38" s="66">
        <v>0</v>
      </c>
      <c r="E38" s="11">
        <v>2.2000000000000002</v>
      </c>
      <c r="F38" s="151">
        <v>0</v>
      </c>
      <c r="G38" s="151">
        <v>0</v>
      </c>
      <c r="H38" s="151">
        <v>0</v>
      </c>
    </row>
    <row r="39" spans="1:8" outlineLevel="2" x14ac:dyDescent="0.25">
      <c r="A39" t="s">
        <v>45</v>
      </c>
      <c r="B39" t="s">
        <v>812</v>
      </c>
      <c r="C39" t="s">
        <v>805</v>
      </c>
      <c r="D39" s="66">
        <v>0</v>
      </c>
      <c r="E39" s="11">
        <v>3</v>
      </c>
      <c r="F39" s="151">
        <v>0</v>
      </c>
      <c r="G39" s="151">
        <v>0</v>
      </c>
      <c r="H39" s="151">
        <v>0</v>
      </c>
    </row>
    <row r="40" spans="1:8" outlineLevel="2" x14ac:dyDescent="0.25">
      <c r="A40" t="s">
        <v>45</v>
      </c>
      <c r="B40" t="s">
        <v>812</v>
      </c>
      <c r="C40" t="s">
        <v>806</v>
      </c>
      <c r="D40" s="66">
        <v>0</v>
      </c>
      <c r="E40" s="11">
        <v>0.08</v>
      </c>
      <c r="F40" s="151">
        <v>0</v>
      </c>
      <c r="G40" s="151">
        <v>0</v>
      </c>
      <c r="H40" s="151">
        <v>0</v>
      </c>
    </row>
    <row r="41" spans="1:8" outlineLevel="1" x14ac:dyDescent="0.25">
      <c r="A41" s="1" t="s">
        <v>943</v>
      </c>
      <c r="F41" s="151">
        <f>SUBTOTAL(9,F23:F40)</f>
        <v>224.0293926563165</v>
      </c>
      <c r="G41" s="151">
        <f>SUBTOTAL(9,G23:G40)</f>
        <v>7144.9116204045986</v>
      </c>
      <c r="H41" s="151">
        <f>SUBTOTAL(9,H23:H40)</f>
        <v>7368.9410130609149</v>
      </c>
    </row>
    <row r="42" spans="1:8" outlineLevel="2" x14ac:dyDescent="0.25">
      <c r="A42" t="s">
        <v>46</v>
      </c>
      <c r="B42" t="s">
        <v>809</v>
      </c>
      <c r="C42" t="s">
        <v>801</v>
      </c>
      <c r="D42" s="66">
        <v>6612.2300000000005</v>
      </c>
      <c r="E42" s="11">
        <v>10</v>
      </c>
      <c r="F42" s="151">
        <v>14.813338710038758</v>
      </c>
      <c r="G42" s="151">
        <v>59.253354840155033</v>
      </c>
      <c r="H42" s="151">
        <v>74.06669355019379</v>
      </c>
    </row>
    <row r="43" spans="1:8" outlineLevel="2" x14ac:dyDescent="0.25">
      <c r="A43" t="s">
        <v>46</v>
      </c>
      <c r="B43" t="s">
        <v>809</v>
      </c>
      <c r="C43" t="s">
        <v>802</v>
      </c>
      <c r="D43" s="66">
        <v>0.67</v>
      </c>
      <c r="E43" s="11">
        <v>65</v>
      </c>
      <c r="F43" s="151">
        <v>3.9025920200730342E-3</v>
      </c>
      <c r="G43" s="151">
        <v>4.4879808230839896E-2</v>
      </c>
      <c r="H43" s="151">
        <v>4.8782400250912926E-2</v>
      </c>
    </row>
    <row r="44" spans="1:8" outlineLevel="2" x14ac:dyDescent="0.25">
      <c r="A44" t="s">
        <v>46</v>
      </c>
      <c r="B44" t="s">
        <v>809</v>
      </c>
      <c r="C44" t="s">
        <v>803</v>
      </c>
      <c r="D44" s="66">
        <v>319.59000000000003</v>
      </c>
      <c r="E44" s="11">
        <v>13</v>
      </c>
      <c r="F44" s="151">
        <v>0</v>
      </c>
      <c r="G44" s="151">
        <v>4.6538409839370924</v>
      </c>
      <c r="H44" s="151">
        <v>4.6538409839370924</v>
      </c>
    </row>
    <row r="45" spans="1:8" outlineLevel="2" x14ac:dyDescent="0.25">
      <c r="A45" t="s">
        <v>46</v>
      </c>
      <c r="B45" t="s">
        <v>809</v>
      </c>
      <c r="C45" t="s">
        <v>804</v>
      </c>
      <c r="D45" s="66">
        <v>301.5</v>
      </c>
      <c r="E45" s="11">
        <v>2.2000000000000002</v>
      </c>
      <c r="F45" s="151">
        <v>5.9439478459573904E-2</v>
      </c>
      <c r="G45" s="151">
        <v>0.68355400228509988</v>
      </c>
      <c r="H45" s="151">
        <v>0.74299348074467375</v>
      </c>
    </row>
    <row r="46" spans="1:8" outlineLevel="2" x14ac:dyDescent="0.25">
      <c r="A46" t="s">
        <v>46</v>
      </c>
      <c r="B46" t="s">
        <v>809</v>
      </c>
      <c r="C46" t="s">
        <v>805</v>
      </c>
      <c r="D46" s="66">
        <v>80.400000000000006</v>
      </c>
      <c r="E46" s="11">
        <v>3</v>
      </c>
      <c r="F46" s="151">
        <v>2.1614355803481419E-2</v>
      </c>
      <c r="G46" s="151">
        <v>0.24856509174003633</v>
      </c>
      <c r="H46" s="151">
        <v>0.27017944754351775</v>
      </c>
    </row>
    <row r="47" spans="1:8" outlineLevel="2" x14ac:dyDescent="0.25">
      <c r="A47" t="s">
        <v>46</v>
      </c>
      <c r="B47" t="s">
        <v>809</v>
      </c>
      <c r="C47" t="s">
        <v>806</v>
      </c>
      <c r="D47" s="66">
        <v>1811.68</v>
      </c>
      <c r="E47" s="11">
        <v>0.08</v>
      </c>
      <c r="F47" s="151">
        <v>1.2987826242803056E-2</v>
      </c>
      <c r="G47" s="151">
        <v>0.14936000179223516</v>
      </c>
      <c r="H47" s="151">
        <v>0.16234782803503819</v>
      </c>
    </row>
    <row r="48" spans="1:8" outlineLevel="2" x14ac:dyDescent="0.25">
      <c r="A48" t="s">
        <v>46</v>
      </c>
      <c r="B48" t="s">
        <v>811</v>
      </c>
      <c r="C48" t="s">
        <v>801</v>
      </c>
      <c r="D48" s="66">
        <v>3256.77</v>
      </c>
      <c r="E48" s="11">
        <v>10</v>
      </c>
      <c r="F48" s="151">
        <v>7.2961220512131195</v>
      </c>
      <c r="G48" s="151">
        <v>29.184488204852478</v>
      </c>
      <c r="H48" s="151">
        <v>36.480610256065596</v>
      </c>
    </row>
    <row r="49" spans="1:8" outlineLevel="2" x14ac:dyDescent="0.25">
      <c r="A49" t="s">
        <v>46</v>
      </c>
      <c r="B49" t="s">
        <v>811</v>
      </c>
      <c r="C49" t="s">
        <v>802</v>
      </c>
      <c r="D49" s="66">
        <v>0.33</v>
      </c>
      <c r="E49" s="11">
        <v>65</v>
      </c>
      <c r="F49" s="151">
        <v>0</v>
      </c>
      <c r="G49" s="151">
        <v>2.4027152362389944E-2</v>
      </c>
      <c r="H49" s="151">
        <v>2.4027152362389944E-2</v>
      </c>
    </row>
    <row r="50" spans="1:8" outlineLevel="2" x14ac:dyDescent="0.25">
      <c r="A50" t="s">
        <v>46</v>
      </c>
      <c r="B50" t="s">
        <v>811</v>
      </c>
      <c r="C50" t="s">
        <v>803</v>
      </c>
      <c r="D50" s="66">
        <v>157.41</v>
      </c>
      <c r="E50" s="11">
        <v>13</v>
      </c>
      <c r="F50" s="151">
        <v>0</v>
      </c>
      <c r="G50" s="151">
        <v>2.2921903353720006</v>
      </c>
      <c r="H50" s="151">
        <v>2.2921903353720006</v>
      </c>
    </row>
    <row r="51" spans="1:8" outlineLevel="2" x14ac:dyDescent="0.25">
      <c r="A51" t="s">
        <v>46</v>
      </c>
      <c r="B51" t="s">
        <v>811</v>
      </c>
      <c r="C51" t="s">
        <v>804</v>
      </c>
      <c r="D51" s="66">
        <v>148.5</v>
      </c>
      <c r="E51" s="11">
        <v>2.2000000000000002</v>
      </c>
      <c r="F51" s="151">
        <v>7.3190402580818617E-2</v>
      </c>
      <c r="G51" s="151">
        <v>0.29276161032327447</v>
      </c>
      <c r="H51" s="151">
        <v>0.36595201290409307</v>
      </c>
    </row>
    <row r="52" spans="1:8" outlineLevel="2" x14ac:dyDescent="0.25">
      <c r="A52" t="s">
        <v>46</v>
      </c>
      <c r="B52" t="s">
        <v>811</v>
      </c>
      <c r="C52" t="s">
        <v>805</v>
      </c>
      <c r="D52" s="66">
        <v>39.6</v>
      </c>
      <c r="E52" s="11">
        <v>3</v>
      </c>
      <c r="F52" s="151">
        <v>0</v>
      </c>
      <c r="G52" s="151">
        <v>0.13307345923785202</v>
      </c>
      <c r="H52" s="151">
        <v>0.13307345923785202</v>
      </c>
    </row>
    <row r="53" spans="1:8" outlineLevel="2" x14ac:dyDescent="0.25">
      <c r="A53" t="s">
        <v>46</v>
      </c>
      <c r="B53" t="s">
        <v>811</v>
      </c>
      <c r="C53" t="s">
        <v>806</v>
      </c>
      <c r="D53" s="66">
        <v>892.32</v>
      </c>
      <c r="E53" s="11">
        <v>0.08</v>
      </c>
      <c r="F53" s="151">
        <v>0</v>
      </c>
      <c r="G53" s="151">
        <v>7.9962363062033748E-2</v>
      </c>
      <c r="H53" s="151">
        <v>7.9962363062033748E-2</v>
      </c>
    </row>
    <row r="54" spans="1:8" outlineLevel="1" x14ac:dyDescent="0.25">
      <c r="A54" s="1" t="s">
        <v>944</v>
      </c>
      <c r="F54" s="151">
        <f>SUBTOTAL(9,F42:F53)</f>
        <v>22.280595416358626</v>
      </c>
      <c r="G54" s="151">
        <f>SUBTOTAL(9,G42:G53)</f>
        <v>97.040057853350348</v>
      </c>
      <c r="H54" s="151">
        <f>SUBTOTAL(9,H42:H53)</f>
        <v>119.32065326970898</v>
      </c>
    </row>
    <row r="55" spans="1:8" outlineLevel="2" x14ac:dyDescent="0.25">
      <c r="A55" t="s">
        <v>47</v>
      </c>
      <c r="B55" t="s">
        <v>939</v>
      </c>
      <c r="C55" t="s">
        <v>801</v>
      </c>
      <c r="D55" s="66">
        <v>59799</v>
      </c>
      <c r="E55" s="11">
        <v>10</v>
      </c>
      <c r="F55" s="151">
        <v>334.91834128637674</v>
      </c>
      <c r="G55" s="151">
        <v>334.91834128637674</v>
      </c>
      <c r="H55" s="151">
        <v>669.83668257275349</v>
      </c>
    </row>
    <row r="56" spans="1:8" outlineLevel="2" x14ac:dyDescent="0.25">
      <c r="A56" t="s">
        <v>47</v>
      </c>
      <c r="B56" t="s">
        <v>939</v>
      </c>
      <c r="C56" t="s">
        <v>802</v>
      </c>
      <c r="D56" s="66">
        <v>62</v>
      </c>
      <c r="E56" s="11">
        <v>65</v>
      </c>
      <c r="F56" s="151">
        <v>0</v>
      </c>
      <c r="G56" s="151">
        <v>4.5141922620247774</v>
      </c>
      <c r="H56" s="151">
        <v>4.5141922620247774</v>
      </c>
    </row>
    <row r="57" spans="1:8" outlineLevel="2" x14ac:dyDescent="0.25">
      <c r="A57" t="s">
        <v>47</v>
      </c>
      <c r="B57" t="s">
        <v>939</v>
      </c>
      <c r="C57" t="s">
        <v>803</v>
      </c>
      <c r="D57" s="66">
        <v>864</v>
      </c>
      <c r="E57" s="11">
        <v>13</v>
      </c>
      <c r="F57" s="151">
        <v>0</v>
      </c>
      <c r="G57" s="151">
        <v>12.581490691578734</v>
      </c>
      <c r="H57" s="151">
        <v>12.581490691578734</v>
      </c>
    </row>
    <row r="58" spans="1:8" outlineLevel="2" x14ac:dyDescent="0.25">
      <c r="A58" t="s">
        <v>47</v>
      </c>
      <c r="B58" t="s">
        <v>939</v>
      </c>
      <c r="C58" t="s">
        <v>804</v>
      </c>
      <c r="D58" s="66">
        <v>657</v>
      </c>
      <c r="E58" s="11">
        <v>2.2000000000000002</v>
      </c>
      <c r="F58" s="151">
        <v>0.80953021036359973</v>
      </c>
      <c r="G58" s="151">
        <v>0.80953021036359973</v>
      </c>
      <c r="H58" s="151">
        <v>1.6190604207271995</v>
      </c>
    </row>
    <row r="59" spans="1:8" outlineLevel="2" x14ac:dyDescent="0.25">
      <c r="A59" t="s">
        <v>47</v>
      </c>
      <c r="B59" t="s">
        <v>939</v>
      </c>
      <c r="C59" t="s">
        <v>805</v>
      </c>
      <c r="D59" s="66">
        <v>37</v>
      </c>
      <c r="E59" s="11">
        <v>3</v>
      </c>
      <c r="F59" s="151">
        <v>0</v>
      </c>
      <c r="G59" s="151">
        <v>0.12433631292425566</v>
      </c>
      <c r="H59" s="151">
        <v>0.12433631292425566</v>
      </c>
    </row>
    <row r="60" spans="1:8" outlineLevel="2" x14ac:dyDescent="0.25">
      <c r="A60" t="s">
        <v>47</v>
      </c>
      <c r="B60" t="s">
        <v>939</v>
      </c>
      <c r="C60" t="s">
        <v>806</v>
      </c>
      <c r="D60" s="66">
        <v>1031.8920113703196</v>
      </c>
      <c r="E60" s="11">
        <v>0.08</v>
      </c>
      <c r="F60" s="151">
        <v>0</v>
      </c>
      <c r="G60" s="151">
        <v>9.2469656237679027E-2</v>
      </c>
      <c r="H60" s="151">
        <v>9.2469656237679027E-2</v>
      </c>
    </row>
    <row r="61" spans="1:8" outlineLevel="1" x14ac:dyDescent="0.25">
      <c r="A61" s="1" t="s">
        <v>945</v>
      </c>
      <c r="F61" s="151">
        <f>SUBTOTAL(9,F55:F60)</f>
        <v>335.72787149674036</v>
      </c>
      <c r="G61" s="151">
        <f>SUBTOTAL(9,G55:G60)</f>
        <v>353.04036041950576</v>
      </c>
      <c r="H61" s="151">
        <f>SUBTOTAL(9,H55:H60)</f>
        <v>688.76823191624612</v>
      </c>
    </row>
    <row r="62" spans="1:8" outlineLevel="2" x14ac:dyDescent="0.25">
      <c r="A62" t="s">
        <v>48</v>
      </c>
      <c r="B62" t="s">
        <v>939</v>
      </c>
      <c r="C62" t="s">
        <v>801</v>
      </c>
      <c r="D62" s="66">
        <v>28124.44</v>
      </c>
      <c r="E62" s="11">
        <v>10</v>
      </c>
      <c r="F62" s="151">
        <v>31.503506059995068</v>
      </c>
      <c r="G62" s="151">
        <v>283.53155453995561</v>
      </c>
      <c r="H62" s="151">
        <v>315.03506059995067</v>
      </c>
    </row>
    <row r="63" spans="1:8" outlineLevel="2" x14ac:dyDescent="0.25">
      <c r="A63" t="s">
        <v>48</v>
      </c>
      <c r="B63" t="s">
        <v>939</v>
      </c>
      <c r="C63" t="s">
        <v>802</v>
      </c>
      <c r="D63" s="66">
        <v>26350</v>
      </c>
      <c r="E63" s="11">
        <v>65</v>
      </c>
      <c r="F63" s="151">
        <v>153.48253690884243</v>
      </c>
      <c r="G63" s="151">
        <v>1765.049174451688</v>
      </c>
      <c r="H63" s="151">
        <v>1918.5317113605304</v>
      </c>
    </row>
    <row r="64" spans="1:8" outlineLevel="2" x14ac:dyDescent="0.25">
      <c r="A64" t="s">
        <v>48</v>
      </c>
      <c r="B64" t="s">
        <v>939</v>
      </c>
      <c r="C64" t="s">
        <v>803</v>
      </c>
      <c r="D64" s="66">
        <v>19.84</v>
      </c>
      <c r="E64" s="11">
        <v>13</v>
      </c>
      <c r="F64" s="151">
        <v>2.3112664381566863E-2</v>
      </c>
      <c r="G64" s="151">
        <v>0.26579564038801895</v>
      </c>
      <c r="H64" s="151">
        <v>0.28890830476958579</v>
      </c>
    </row>
    <row r="65" spans="1:8" outlineLevel="2" x14ac:dyDescent="0.25">
      <c r="A65" t="s">
        <v>48</v>
      </c>
      <c r="B65" t="s">
        <v>939</v>
      </c>
      <c r="C65" t="s">
        <v>804</v>
      </c>
      <c r="D65" s="66">
        <v>5.27</v>
      </c>
      <c r="E65" s="11">
        <v>2.2000000000000002</v>
      </c>
      <c r="F65" s="151">
        <v>1.2986983892286667E-3</v>
      </c>
      <c r="G65" s="151">
        <v>1.1688285503058001E-2</v>
      </c>
      <c r="H65" s="151">
        <v>1.2986983892286667E-2</v>
      </c>
    </row>
    <row r="66" spans="1:8" outlineLevel="2" x14ac:dyDescent="0.25">
      <c r="A66" t="s">
        <v>48</v>
      </c>
      <c r="B66" t="s">
        <v>939</v>
      </c>
      <c r="C66" t="s">
        <v>805</v>
      </c>
      <c r="D66" s="66">
        <v>0</v>
      </c>
      <c r="E66" s="11">
        <v>3</v>
      </c>
      <c r="F66" s="151">
        <v>0</v>
      </c>
      <c r="G66" s="151">
        <v>0</v>
      </c>
      <c r="H66" s="151">
        <v>0</v>
      </c>
    </row>
    <row r="67" spans="1:8" outlineLevel="2" x14ac:dyDescent="0.25">
      <c r="A67" t="s">
        <v>48</v>
      </c>
      <c r="B67" t="s">
        <v>939</v>
      </c>
      <c r="C67" t="s">
        <v>806</v>
      </c>
      <c r="D67" s="66">
        <v>1234.73</v>
      </c>
      <c r="E67" s="11">
        <v>0.08</v>
      </c>
      <c r="F67" s="151">
        <v>0</v>
      </c>
      <c r="G67" s="151">
        <v>0.11064632479781347</v>
      </c>
      <c r="H67" s="151">
        <v>0.11064632479781347</v>
      </c>
    </row>
    <row r="68" spans="1:8" outlineLevel="2" x14ac:dyDescent="0.25">
      <c r="A68" t="s">
        <v>48</v>
      </c>
      <c r="B68" t="s">
        <v>810</v>
      </c>
      <c r="C68" t="s">
        <v>801</v>
      </c>
      <c r="D68" s="66">
        <v>2721.72</v>
      </c>
      <c r="E68" s="11">
        <v>10</v>
      </c>
      <c r="F68" s="151">
        <v>3.0487263929027488</v>
      </c>
      <c r="G68" s="151">
        <v>27.438537536124738</v>
      </c>
      <c r="H68" s="151">
        <v>30.487263929027485</v>
      </c>
    </row>
    <row r="69" spans="1:8" outlineLevel="2" x14ac:dyDescent="0.25">
      <c r="A69" t="s">
        <v>48</v>
      </c>
      <c r="B69" t="s">
        <v>810</v>
      </c>
      <c r="C69" t="s">
        <v>802</v>
      </c>
      <c r="D69" s="66">
        <v>2550</v>
      </c>
      <c r="E69" s="11">
        <v>65</v>
      </c>
      <c r="F69" s="151">
        <v>14.853148733113786</v>
      </c>
      <c r="G69" s="151">
        <v>170.81121043080853</v>
      </c>
      <c r="H69" s="151">
        <v>185.66435916392231</v>
      </c>
    </row>
    <row r="70" spans="1:8" outlineLevel="2" x14ac:dyDescent="0.25">
      <c r="A70" t="s">
        <v>48</v>
      </c>
      <c r="B70" t="s">
        <v>810</v>
      </c>
      <c r="C70" t="s">
        <v>803</v>
      </c>
      <c r="D70" s="66">
        <v>1.92</v>
      </c>
      <c r="E70" s="11">
        <v>13</v>
      </c>
      <c r="F70" s="151">
        <v>2.2367094562806642E-3</v>
      </c>
      <c r="G70" s="151">
        <v>2.5722158747227639E-2</v>
      </c>
      <c r="H70" s="151">
        <v>2.7958868203508302E-2</v>
      </c>
    </row>
    <row r="71" spans="1:8" outlineLevel="2" x14ac:dyDescent="0.25">
      <c r="A71" t="s">
        <v>48</v>
      </c>
      <c r="B71" t="s">
        <v>810</v>
      </c>
      <c r="C71" t="s">
        <v>804</v>
      </c>
      <c r="D71" s="66">
        <v>0.51</v>
      </c>
      <c r="E71" s="11">
        <v>2.2000000000000002</v>
      </c>
      <c r="F71" s="151">
        <v>1.0054439142415485E-4</v>
      </c>
      <c r="G71" s="151">
        <v>1.156260501377781E-3</v>
      </c>
      <c r="H71" s="151">
        <v>1.2568048928019357E-3</v>
      </c>
    </row>
    <row r="72" spans="1:8" outlineLevel="2" x14ac:dyDescent="0.25">
      <c r="A72" t="s">
        <v>48</v>
      </c>
      <c r="B72" t="s">
        <v>810</v>
      </c>
      <c r="C72" t="s">
        <v>805</v>
      </c>
      <c r="D72" s="66">
        <v>0</v>
      </c>
      <c r="E72" s="11">
        <v>3</v>
      </c>
      <c r="F72" s="151">
        <v>0</v>
      </c>
      <c r="G72" s="151">
        <v>0</v>
      </c>
      <c r="H72" s="151">
        <v>0</v>
      </c>
    </row>
    <row r="73" spans="1:8" outlineLevel="2" x14ac:dyDescent="0.25">
      <c r="A73" t="s">
        <v>48</v>
      </c>
      <c r="B73" t="s">
        <v>810</v>
      </c>
      <c r="C73" t="s">
        <v>806</v>
      </c>
      <c r="D73" s="66">
        <v>119.49</v>
      </c>
      <c r="E73" s="11">
        <v>0.08</v>
      </c>
      <c r="F73" s="151">
        <v>8.5661670811210447E-4</v>
      </c>
      <c r="G73" s="151">
        <v>9.8510921432892005E-3</v>
      </c>
      <c r="H73" s="151">
        <v>1.0707708851401305E-2</v>
      </c>
    </row>
    <row r="74" spans="1:8" outlineLevel="2" x14ac:dyDescent="0.25">
      <c r="A74" t="s">
        <v>48</v>
      </c>
      <c r="B74" t="s">
        <v>812</v>
      </c>
      <c r="C74" t="s">
        <v>801</v>
      </c>
      <c r="D74" s="66">
        <v>59877.840000000004</v>
      </c>
      <c r="E74" s="11">
        <v>10</v>
      </c>
      <c r="F74" s="151">
        <v>67.071980643860485</v>
      </c>
      <c r="G74" s="151">
        <v>603.64782579474434</v>
      </c>
      <c r="H74" s="151">
        <v>670.71980643860479</v>
      </c>
    </row>
    <row r="75" spans="1:8" outlineLevel="2" x14ac:dyDescent="0.25">
      <c r="A75" t="s">
        <v>48</v>
      </c>
      <c r="B75" t="s">
        <v>812</v>
      </c>
      <c r="C75" t="s">
        <v>802</v>
      </c>
      <c r="D75" s="66">
        <v>56100</v>
      </c>
      <c r="E75" s="11">
        <v>65</v>
      </c>
      <c r="F75" s="151">
        <v>0</v>
      </c>
      <c r="G75" s="151">
        <v>4084.6159016062907</v>
      </c>
      <c r="H75" s="151">
        <v>4084.6159016062907</v>
      </c>
    </row>
    <row r="76" spans="1:8" outlineLevel="2" x14ac:dyDescent="0.25">
      <c r="A76" t="s">
        <v>48</v>
      </c>
      <c r="B76" t="s">
        <v>812</v>
      </c>
      <c r="C76" t="s">
        <v>803</v>
      </c>
      <c r="D76" s="66">
        <v>42.24</v>
      </c>
      <c r="E76" s="11">
        <v>13</v>
      </c>
      <c r="F76" s="151">
        <v>0</v>
      </c>
      <c r="G76" s="151">
        <v>0.61509510047718263</v>
      </c>
      <c r="H76" s="151">
        <v>0.61509510047718263</v>
      </c>
    </row>
    <row r="77" spans="1:8" outlineLevel="2" x14ac:dyDescent="0.25">
      <c r="A77" t="s">
        <v>48</v>
      </c>
      <c r="B77" t="s">
        <v>812</v>
      </c>
      <c r="C77" t="s">
        <v>804</v>
      </c>
      <c r="D77" s="66">
        <v>11.22</v>
      </c>
      <c r="E77" s="11">
        <v>2.2000000000000002</v>
      </c>
      <c r="F77" s="151">
        <v>2.7649707641642591E-3</v>
      </c>
      <c r="G77" s="151">
        <v>2.4884736877478331E-2</v>
      </c>
      <c r="H77" s="151">
        <v>2.7649707641642589E-2</v>
      </c>
    </row>
    <row r="78" spans="1:8" outlineLevel="2" x14ac:dyDescent="0.25">
      <c r="A78" t="s">
        <v>48</v>
      </c>
      <c r="B78" t="s">
        <v>812</v>
      </c>
      <c r="C78" t="s">
        <v>805</v>
      </c>
      <c r="D78" s="66">
        <v>0</v>
      </c>
      <c r="E78" s="11">
        <v>3</v>
      </c>
      <c r="F78" s="151">
        <v>0</v>
      </c>
      <c r="G78" s="151">
        <v>0</v>
      </c>
      <c r="H78" s="151">
        <v>0</v>
      </c>
    </row>
    <row r="79" spans="1:8" outlineLevel="2" x14ac:dyDescent="0.25">
      <c r="A79" t="s">
        <v>48</v>
      </c>
      <c r="B79" t="s">
        <v>812</v>
      </c>
      <c r="C79" t="s">
        <v>806</v>
      </c>
      <c r="D79" s="66">
        <v>2628.78</v>
      </c>
      <c r="E79" s="11">
        <v>0.08</v>
      </c>
      <c r="F79" s="151">
        <v>2.3556959473082874E-2</v>
      </c>
      <c r="G79" s="151">
        <v>0.21201263525774586</v>
      </c>
      <c r="H79" s="151">
        <v>0.23556959473082872</v>
      </c>
    </row>
    <row r="80" spans="1:8" outlineLevel="1" x14ac:dyDescent="0.25">
      <c r="A80" s="1" t="s">
        <v>946</v>
      </c>
      <c r="F80" s="151">
        <f>SUBTOTAL(9,F62:F79)</f>
        <v>270.01382590227837</v>
      </c>
      <c r="G80" s="151">
        <f>SUBTOTAL(9,G62:G79)</f>
        <v>6936.3710565943056</v>
      </c>
      <c r="H80" s="151">
        <f>SUBTOTAL(9,H62:H79)</f>
        <v>7206.3848824965835</v>
      </c>
    </row>
    <row r="81" spans="1:8" outlineLevel="2" x14ac:dyDescent="0.25">
      <c r="A81" t="s">
        <v>49</v>
      </c>
      <c r="B81" t="s">
        <v>810</v>
      </c>
      <c r="C81" t="s">
        <v>801</v>
      </c>
      <c r="D81" s="66">
        <v>27200</v>
      </c>
      <c r="E81" s="11">
        <v>10</v>
      </c>
      <c r="F81" s="151">
        <v>60.935994802518088</v>
      </c>
      <c r="G81" s="151">
        <v>243.74397921007235</v>
      </c>
      <c r="H81" s="151">
        <v>304.67997401259043</v>
      </c>
    </row>
    <row r="82" spans="1:8" outlineLevel="2" x14ac:dyDescent="0.25">
      <c r="A82" t="s">
        <v>49</v>
      </c>
      <c r="B82" t="s">
        <v>810</v>
      </c>
      <c r="C82" t="s">
        <v>802</v>
      </c>
      <c r="D82" s="66">
        <v>3</v>
      </c>
      <c r="E82" s="11">
        <v>65</v>
      </c>
      <c r="F82" s="151">
        <v>0</v>
      </c>
      <c r="G82" s="151">
        <v>0.21842865783990859</v>
      </c>
      <c r="H82" s="151">
        <v>0.21842865783990859</v>
      </c>
    </row>
    <row r="83" spans="1:8" outlineLevel="2" x14ac:dyDescent="0.25">
      <c r="A83" t="s">
        <v>49</v>
      </c>
      <c r="B83" t="s">
        <v>810</v>
      </c>
      <c r="C83" t="s">
        <v>803</v>
      </c>
      <c r="D83" s="66">
        <v>274</v>
      </c>
      <c r="E83" s="11">
        <v>13</v>
      </c>
      <c r="F83" s="151">
        <v>0</v>
      </c>
      <c r="G83" s="151">
        <v>3.9899634832089972</v>
      </c>
      <c r="H83" s="151">
        <v>3.9899634832089972</v>
      </c>
    </row>
    <row r="84" spans="1:8" outlineLevel="2" x14ac:dyDescent="0.25">
      <c r="A84" t="s">
        <v>49</v>
      </c>
      <c r="B84" t="s">
        <v>810</v>
      </c>
      <c r="C84" t="s">
        <v>804</v>
      </c>
      <c r="D84" s="66">
        <v>621</v>
      </c>
      <c r="E84" s="11">
        <v>2.2000000000000002</v>
      </c>
      <c r="F84" s="151">
        <v>0.30606895624705965</v>
      </c>
      <c r="G84" s="151">
        <v>1.2242758249882386</v>
      </c>
      <c r="H84" s="151">
        <v>1.5303447812352982</v>
      </c>
    </row>
    <row r="85" spans="1:8" outlineLevel="2" x14ac:dyDescent="0.25">
      <c r="A85" t="s">
        <v>49</v>
      </c>
      <c r="B85" t="s">
        <v>810</v>
      </c>
      <c r="C85" t="s">
        <v>805</v>
      </c>
      <c r="D85" s="66">
        <v>23</v>
      </c>
      <c r="E85" s="11">
        <v>3</v>
      </c>
      <c r="F85" s="151">
        <v>0</v>
      </c>
      <c r="G85" s="151">
        <v>7.7290140466429194E-2</v>
      </c>
      <c r="H85" s="151">
        <v>7.7290140466429194E-2</v>
      </c>
    </row>
    <row r="86" spans="1:8" outlineLevel="2" x14ac:dyDescent="0.25">
      <c r="A86" t="s">
        <v>49</v>
      </c>
      <c r="B86" t="s">
        <v>810</v>
      </c>
      <c r="C86" t="s">
        <v>806</v>
      </c>
      <c r="D86" s="66">
        <v>397.94361889825518</v>
      </c>
      <c r="E86" s="11">
        <v>0.08</v>
      </c>
      <c r="F86" s="151">
        <v>0</v>
      </c>
      <c r="G86" s="151">
        <v>3.5660426901293119E-2</v>
      </c>
      <c r="H86" s="151">
        <v>3.5660426901293119E-2</v>
      </c>
    </row>
    <row r="87" spans="1:8" outlineLevel="1" x14ac:dyDescent="0.25">
      <c r="A87" s="1" t="s">
        <v>947</v>
      </c>
      <c r="F87" s="151">
        <f>SUBTOTAL(9,F81:F86)</f>
        <v>61.242063758765148</v>
      </c>
      <c r="G87" s="151">
        <f>SUBTOTAL(9,G81:G86)</f>
        <v>249.28959774347726</v>
      </c>
      <c r="H87" s="151">
        <f>SUBTOTAL(9,H81:H86)</f>
        <v>310.53166150224234</v>
      </c>
    </row>
    <row r="88" spans="1:8" outlineLevel="2" x14ac:dyDescent="0.25">
      <c r="A88" t="s">
        <v>120</v>
      </c>
      <c r="B88" t="s">
        <v>811</v>
      </c>
      <c r="C88" t="s">
        <v>801</v>
      </c>
      <c r="D88" s="66">
        <v>60000</v>
      </c>
      <c r="E88" s="11">
        <v>10</v>
      </c>
      <c r="F88" s="151">
        <v>134.4176355937899</v>
      </c>
      <c r="G88" s="151">
        <v>537.67054237515958</v>
      </c>
      <c r="H88" s="151">
        <v>672.08817796894948</v>
      </c>
    </row>
    <row r="89" spans="1:8" outlineLevel="2" x14ac:dyDescent="0.25">
      <c r="A89" t="s">
        <v>120</v>
      </c>
      <c r="B89" t="s">
        <v>811</v>
      </c>
      <c r="C89" t="s">
        <v>802</v>
      </c>
      <c r="D89" s="66">
        <v>33000</v>
      </c>
      <c r="E89" s="11">
        <v>65</v>
      </c>
      <c r="F89" s="151">
        <v>0</v>
      </c>
      <c r="G89" s="151">
        <v>2402.7152362389947</v>
      </c>
      <c r="H89" s="151">
        <v>2402.7152362389947</v>
      </c>
    </row>
    <row r="90" spans="1:8" outlineLevel="2" x14ac:dyDescent="0.25">
      <c r="A90" t="s">
        <v>120</v>
      </c>
      <c r="B90" t="s">
        <v>811</v>
      </c>
      <c r="C90" t="s">
        <v>803</v>
      </c>
      <c r="D90" s="66">
        <v>1565</v>
      </c>
      <c r="E90" s="11">
        <v>13</v>
      </c>
      <c r="F90" s="151">
        <v>0</v>
      </c>
      <c r="G90" s="151">
        <v>22.789389967963796</v>
      </c>
      <c r="H90" s="151">
        <v>22.789389967963796</v>
      </c>
    </row>
    <row r="91" spans="1:8" outlineLevel="2" x14ac:dyDescent="0.25">
      <c r="A91" t="s">
        <v>120</v>
      </c>
      <c r="B91" t="s">
        <v>811</v>
      </c>
      <c r="C91" t="s">
        <v>804</v>
      </c>
      <c r="D91" s="66">
        <v>1798</v>
      </c>
      <c r="E91" s="11">
        <v>2.2000000000000002</v>
      </c>
      <c r="F91" s="151">
        <v>0.88617066559132562</v>
      </c>
      <c r="G91" s="151">
        <v>3.5446826623653025</v>
      </c>
      <c r="H91" s="151">
        <v>4.430853327956628</v>
      </c>
    </row>
    <row r="92" spans="1:8" outlineLevel="2" x14ac:dyDescent="0.25">
      <c r="A92" t="s">
        <v>120</v>
      </c>
      <c r="B92" t="s">
        <v>811</v>
      </c>
      <c r="C92" t="s">
        <v>805</v>
      </c>
      <c r="D92" s="66">
        <v>55</v>
      </c>
      <c r="E92" s="11">
        <v>3</v>
      </c>
      <c r="F92" s="151">
        <v>0</v>
      </c>
      <c r="G92" s="151">
        <v>0.18482424894146113</v>
      </c>
      <c r="H92" s="151">
        <v>0.18482424894146113</v>
      </c>
    </row>
    <row r="93" spans="1:8" outlineLevel="2" x14ac:dyDescent="0.25">
      <c r="A93" t="s">
        <v>120</v>
      </c>
      <c r="B93" t="s">
        <v>811</v>
      </c>
      <c r="C93" t="s">
        <v>806</v>
      </c>
      <c r="D93" s="66">
        <v>4908</v>
      </c>
      <c r="E93" s="11">
        <v>0.08</v>
      </c>
      <c r="F93" s="151">
        <v>0</v>
      </c>
      <c r="G93" s="151">
        <v>0.43981450366288055</v>
      </c>
      <c r="H93" s="151">
        <v>0.43981450366288055</v>
      </c>
    </row>
    <row r="94" spans="1:8" outlineLevel="1" x14ac:dyDescent="0.25">
      <c r="A94" s="1" t="s">
        <v>948</v>
      </c>
      <c r="F94" s="151">
        <f>SUBTOTAL(9,F88:F93)</f>
        <v>135.30380625938122</v>
      </c>
      <c r="G94" s="151">
        <f>SUBTOTAL(9,G88:G93)</f>
        <v>2967.3444899970877</v>
      </c>
      <c r="H94" s="151">
        <f>SUBTOTAL(9,H88:H93)</f>
        <v>3102.6482962564692</v>
      </c>
    </row>
    <row r="95" spans="1:8" outlineLevel="2" x14ac:dyDescent="0.25">
      <c r="A95" t="s">
        <v>51</v>
      </c>
      <c r="B95" t="s">
        <v>810</v>
      </c>
      <c r="C95" t="s">
        <v>801</v>
      </c>
      <c r="D95" s="66">
        <v>21838</v>
      </c>
      <c r="E95" s="11">
        <v>10</v>
      </c>
      <c r="F95" s="151">
        <v>48.923538768286399</v>
      </c>
      <c r="G95" s="151">
        <v>195.69415507314559</v>
      </c>
      <c r="H95" s="151">
        <v>244.61769384143199</v>
      </c>
    </row>
    <row r="96" spans="1:8" outlineLevel="2" x14ac:dyDescent="0.25">
      <c r="A96" t="s">
        <v>51</v>
      </c>
      <c r="B96" t="s">
        <v>810</v>
      </c>
      <c r="C96" t="s">
        <v>802</v>
      </c>
      <c r="D96" s="66">
        <v>13000</v>
      </c>
      <c r="E96" s="11">
        <v>65</v>
      </c>
      <c r="F96" s="151">
        <v>0</v>
      </c>
      <c r="G96" s="151">
        <v>1374.31</v>
      </c>
      <c r="H96" s="151">
        <v>1374.31</v>
      </c>
    </row>
    <row r="97" spans="1:8" outlineLevel="2" x14ac:dyDescent="0.25">
      <c r="A97" t="s">
        <v>51</v>
      </c>
      <c r="B97" t="s">
        <v>810</v>
      </c>
      <c r="C97" t="s">
        <v>803</v>
      </c>
      <c r="D97" s="66">
        <v>2000</v>
      </c>
      <c r="E97" s="11">
        <v>13</v>
      </c>
      <c r="F97" s="151">
        <v>0</v>
      </c>
      <c r="G97" s="151">
        <v>29.123821045321147</v>
      </c>
      <c r="H97" s="151">
        <v>29.123821045321147</v>
      </c>
    </row>
    <row r="98" spans="1:8" outlineLevel="2" x14ac:dyDescent="0.25">
      <c r="A98" t="s">
        <v>51</v>
      </c>
      <c r="B98" t="s">
        <v>810</v>
      </c>
      <c r="C98" t="s">
        <v>804</v>
      </c>
      <c r="D98" s="66">
        <v>1035</v>
      </c>
      <c r="E98" s="11">
        <v>2.2000000000000002</v>
      </c>
      <c r="F98" s="151">
        <v>0.51011492707843276</v>
      </c>
      <c r="G98" s="151">
        <v>2.040459708313731</v>
      </c>
      <c r="H98" s="151">
        <v>2.5505746353921634</v>
      </c>
    </row>
    <row r="99" spans="1:8" outlineLevel="2" x14ac:dyDescent="0.25">
      <c r="A99" t="s">
        <v>51</v>
      </c>
      <c r="B99" t="s">
        <v>810</v>
      </c>
      <c r="C99" t="s">
        <v>805</v>
      </c>
      <c r="D99" s="66">
        <v>300</v>
      </c>
      <c r="E99" s="11">
        <v>3</v>
      </c>
      <c r="F99" s="151">
        <v>0</v>
      </c>
      <c r="G99" s="151">
        <v>1.0081322669534243</v>
      </c>
      <c r="H99" s="151">
        <v>1.0081322669534243</v>
      </c>
    </row>
    <row r="100" spans="1:8" outlineLevel="2" x14ac:dyDescent="0.25">
      <c r="A100" t="s">
        <v>51</v>
      </c>
      <c r="B100" t="s">
        <v>810</v>
      </c>
      <c r="C100" t="s">
        <v>806</v>
      </c>
      <c r="D100" s="66">
        <v>2500</v>
      </c>
      <c r="E100" s="11">
        <v>0.08</v>
      </c>
      <c r="F100" s="151">
        <v>0</v>
      </c>
      <c r="G100" s="151">
        <v>0.2240293926563165</v>
      </c>
      <c r="H100" s="151">
        <v>0.2240293926563165</v>
      </c>
    </row>
    <row r="101" spans="1:8" outlineLevel="2" x14ac:dyDescent="0.25">
      <c r="A101" t="s">
        <v>51</v>
      </c>
      <c r="B101" t="s">
        <v>811</v>
      </c>
      <c r="C101" t="s">
        <v>801</v>
      </c>
      <c r="D101" s="66">
        <v>0</v>
      </c>
      <c r="E101" s="11">
        <v>10</v>
      </c>
      <c r="F101" s="151">
        <v>0</v>
      </c>
      <c r="G101" s="151">
        <v>0</v>
      </c>
      <c r="H101" s="151">
        <v>0</v>
      </c>
    </row>
    <row r="102" spans="1:8" outlineLevel="2" x14ac:dyDescent="0.25">
      <c r="A102" t="s">
        <v>51</v>
      </c>
      <c r="B102" t="s">
        <v>811</v>
      </c>
      <c r="C102" t="s">
        <v>802</v>
      </c>
      <c r="D102" s="66">
        <v>0</v>
      </c>
      <c r="E102" s="11">
        <v>65</v>
      </c>
      <c r="F102" s="151">
        <v>0</v>
      </c>
      <c r="G102" s="151">
        <v>0</v>
      </c>
      <c r="H102" s="151">
        <v>0</v>
      </c>
    </row>
    <row r="103" spans="1:8" outlineLevel="2" x14ac:dyDescent="0.25">
      <c r="A103" t="s">
        <v>51</v>
      </c>
      <c r="B103" t="s">
        <v>811</v>
      </c>
      <c r="C103" t="s">
        <v>803</v>
      </c>
      <c r="D103" s="66">
        <v>0</v>
      </c>
      <c r="E103" s="11">
        <v>13</v>
      </c>
      <c r="F103" s="151">
        <v>0</v>
      </c>
      <c r="G103" s="151">
        <v>0</v>
      </c>
      <c r="H103" s="151">
        <v>0</v>
      </c>
    </row>
    <row r="104" spans="1:8" outlineLevel="2" x14ac:dyDescent="0.25">
      <c r="A104" t="s">
        <v>51</v>
      </c>
      <c r="B104" t="s">
        <v>811</v>
      </c>
      <c r="C104" t="s">
        <v>804</v>
      </c>
      <c r="D104" s="66">
        <v>0</v>
      </c>
      <c r="E104" s="11">
        <v>2.2000000000000002</v>
      </c>
      <c r="F104" s="151">
        <v>0</v>
      </c>
      <c r="G104" s="151">
        <v>0</v>
      </c>
      <c r="H104" s="151">
        <v>0</v>
      </c>
    </row>
    <row r="105" spans="1:8" outlineLevel="2" x14ac:dyDescent="0.25">
      <c r="A105" t="s">
        <v>51</v>
      </c>
      <c r="B105" t="s">
        <v>811</v>
      </c>
      <c r="C105" t="s">
        <v>805</v>
      </c>
      <c r="D105" s="66">
        <v>0</v>
      </c>
      <c r="E105" s="11">
        <v>3</v>
      </c>
      <c r="F105" s="151">
        <v>0</v>
      </c>
      <c r="G105" s="151">
        <v>0</v>
      </c>
      <c r="H105" s="151">
        <v>0</v>
      </c>
    </row>
    <row r="106" spans="1:8" outlineLevel="2" x14ac:dyDescent="0.25">
      <c r="A106" t="s">
        <v>51</v>
      </c>
      <c r="B106" t="s">
        <v>811</v>
      </c>
      <c r="C106" t="s">
        <v>806</v>
      </c>
      <c r="D106" s="66">
        <v>0</v>
      </c>
      <c r="E106" s="11">
        <v>0.08</v>
      </c>
      <c r="F106" s="151">
        <v>0</v>
      </c>
      <c r="G106" s="151">
        <v>0</v>
      </c>
      <c r="H106" s="151">
        <v>0</v>
      </c>
    </row>
    <row r="107" spans="1:8" outlineLevel="1" x14ac:dyDescent="0.25">
      <c r="A107" s="1" t="s">
        <v>949</v>
      </c>
      <c r="F107" s="151">
        <f>SUBTOTAL(9,F95:F106)</f>
        <v>49.433653695364832</v>
      </c>
      <c r="G107" s="151">
        <f>SUBTOTAL(9,G95:G106)</f>
        <v>1602.4005974863901</v>
      </c>
      <c r="H107" s="151">
        <f>SUBTOTAL(9,H95:H106)</f>
        <v>1651.834251181755</v>
      </c>
    </row>
    <row r="108" spans="1:8" outlineLevel="2" x14ac:dyDescent="0.25">
      <c r="A108" t="s">
        <v>52</v>
      </c>
      <c r="B108" t="s">
        <v>809</v>
      </c>
      <c r="C108" t="s">
        <v>801</v>
      </c>
      <c r="D108" s="66">
        <v>19504</v>
      </c>
      <c r="E108" s="11">
        <v>10</v>
      </c>
      <c r="F108" s="151">
        <v>109.23673185921993</v>
      </c>
      <c r="G108" s="151">
        <v>109.23673185921993</v>
      </c>
      <c r="H108" s="151">
        <v>218.47346371843986</v>
      </c>
    </row>
    <row r="109" spans="1:8" outlineLevel="2" x14ac:dyDescent="0.25">
      <c r="A109" t="s">
        <v>52</v>
      </c>
      <c r="B109" t="s">
        <v>809</v>
      </c>
      <c r="C109" t="s">
        <v>802</v>
      </c>
      <c r="D109" s="66">
        <v>10.4</v>
      </c>
      <c r="E109" s="11">
        <v>65</v>
      </c>
      <c r="F109" s="151">
        <v>0</v>
      </c>
      <c r="G109" s="151">
        <v>0.75721934717834982</v>
      </c>
      <c r="H109" s="151">
        <v>0.75721934717834982</v>
      </c>
    </row>
    <row r="110" spans="1:8" outlineLevel="2" x14ac:dyDescent="0.25">
      <c r="A110" t="s">
        <v>52</v>
      </c>
      <c r="B110" t="s">
        <v>809</v>
      </c>
      <c r="C110" t="s">
        <v>803</v>
      </c>
      <c r="D110" s="66">
        <v>983.2</v>
      </c>
      <c r="E110" s="11">
        <v>13</v>
      </c>
      <c r="F110" s="151">
        <v>0</v>
      </c>
      <c r="G110" s="151">
        <v>14.317270425879876</v>
      </c>
      <c r="H110" s="151">
        <v>14.317270425879876</v>
      </c>
    </row>
    <row r="111" spans="1:8" outlineLevel="2" x14ac:dyDescent="0.25">
      <c r="A111" t="s">
        <v>52</v>
      </c>
      <c r="B111" t="s">
        <v>809</v>
      </c>
      <c r="C111" t="s">
        <v>804</v>
      </c>
      <c r="D111" s="66">
        <v>280</v>
      </c>
      <c r="E111" s="11">
        <v>2.2000000000000002</v>
      </c>
      <c r="F111" s="151">
        <v>5.5200842350516387E-2</v>
      </c>
      <c r="G111" s="151">
        <v>0.63480968703093843</v>
      </c>
      <c r="H111" s="151">
        <v>0.6900105293814548</v>
      </c>
    </row>
    <row r="112" spans="1:8" outlineLevel="2" x14ac:dyDescent="0.25">
      <c r="A112" t="s">
        <v>52</v>
      </c>
      <c r="B112" t="s">
        <v>809</v>
      </c>
      <c r="C112" t="s">
        <v>805</v>
      </c>
      <c r="D112" s="66">
        <v>16.8</v>
      </c>
      <c r="E112" s="11">
        <v>3</v>
      </c>
      <c r="F112" s="151">
        <v>4.5164325559513413E-3</v>
      </c>
      <c r="G112" s="151">
        <v>5.1938974393440425E-2</v>
      </c>
      <c r="H112" s="151">
        <v>5.6455406949391766E-2</v>
      </c>
    </row>
    <row r="113" spans="1:8" outlineLevel="2" x14ac:dyDescent="0.25">
      <c r="A113" t="s">
        <v>52</v>
      </c>
      <c r="B113" t="s">
        <v>809</v>
      </c>
      <c r="C113" t="s">
        <v>806</v>
      </c>
      <c r="D113" s="66">
        <v>611.29896882964124</v>
      </c>
      <c r="E113" s="11">
        <v>0.08</v>
      </c>
      <c r="F113" s="151">
        <v>0</v>
      </c>
      <c r="G113" s="151">
        <v>5.4779574687334832E-2</v>
      </c>
      <c r="H113" s="151">
        <v>5.4779574687334832E-2</v>
      </c>
    </row>
    <row r="114" spans="1:8" outlineLevel="2" x14ac:dyDescent="0.25">
      <c r="A114" t="s">
        <v>52</v>
      </c>
      <c r="B114" t="s">
        <v>811</v>
      </c>
      <c r="C114" t="s">
        <v>801</v>
      </c>
      <c r="D114" s="66">
        <v>4876</v>
      </c>
      <c r="E114" s="11">
        <v>10</v>
      </c>
      <c r="F114" s="151">
        <v>27.309182964804982</v>
      </c>
      <c r="G114" s="151">
        <v>27.309182964804982</v>
      </c>
      <c r="H114" s="151">
        <v>54.618365929609965</v>
      </c>
    </row>
    <row r="115" spans="1:8" outlineLevel="2" x14ac:dyDescent="0.25">
      <c r="A115" t="s">
        <v>52</v>
      </c>
      <c r="B115" t="s">
        <v>811</v>
      </c>
      <c r="C115" t="s">
        <v>802</v>
      </c>
      <c r="D115" s="66">
        <v>2.6</v>
      </c>
      <c r="E115" s="11">
        <v>65</v>
      </c>
      <c r="F115" s="151">
        <v>0</v>
      </c>
      <c r="G115" s="151">
        <v>0.18930483679458746</v>
      </c>
      <c r="H115" s="151">
        <v>0.18930483679458746</v>
      </c>
    </row>
    <row r="116" spans="1:8" outlineLevel="2" x14ac:dyDescent="0.25">
      <c r="A116" t="s">
        <v>52</v>
      </c>
      <c r="B116" t="s">
        <v>811</v>
      </c>
      <c r="C116" t="s">
        <v>803</v>
      </c>
      <c r="D116" s="66">
        <v>245.8</v>
      </c>
      <c r="E116" s="11">
        <v>13</v>
      </c>
      <c r="F116" s="151">
        <v>0</v>
      </c>
      <c r="G116" s="151">
        <v>3.579317606469969</v>
      </c>
      <c r="H116" s="151">
        <v>3.579317606469969</v>
      </c>
    </row>
    <row r="117" spans="1:8" outlineLevel="2" x14ac:dyDescent="0.25">
      <c r="A117" t="s">
        <v>52</v>
      </c>
      <c r="B117" t="s">
        <v>811</v>
      </c>
      <c r="C117" t="s">
        <v>804</v>
      </c>
      <c r="D117" s="66">
        <v>70</v>
      </c>
      <c r="E117" s="11">
        <v>2.2000000000000002</v>
      </c>
      <c r="F117" s="151">
        <v>8.6251316172681849E-2</v>
      </c>
      <c r="G117" s="151">
        <v>8.6251316172681849E-2</v>
      </c>
      <c r="H117" s="151">
        <v>0.1725026323453637</v>
      </c>
    </row>
    <row r="118" spans="1:8" outlineLevel="2" x14ac:dyDescent="0.25">
      <c r="A118" t="s">
        <v>52</v>
      </c>
      <c r="B118" t="s">
        <v>811</v>
      </c>
      <c r="C118" t="s">
        <v>805</v>
      </c>
      <c r="D118" s="66">
        <v>4.2</v>
      </c>
      <c r="E118" s="11">
        <v>3</v>
      </c>
      <c r="F118" s="151">
        <v>0</v>
      </c>
      <c r="G118" s="151">
        <v>1.4113851737347942E-2</v>
      </c>
      <c r="H118" s="151">
        <v>1.4113851737347942E-2</v>
      </c>
    </row>
    <row r="119" spans="1:8" outlineLevel="2" x14ac:dyDescent="0.25">
      <c r="A119" t="s">
        <v>52</v>
      </c>
      <c r="B119" t="s">
        <v>811</v>
      </c>
      <c r="C119" t="s">
        <v>806</v>
      </c>
      <c r="D119" s="66">
        <v>152.82474220741031</v>
      </c>
      <c r="E119" s="11">
        <v>0.08</v>
      </c>
      <c r="F119" s="151">
        <v>0</v>
      </c>
      <c r="G119" s="151">
        <v>1.3694893671833708E-2</v>
      </c>
      <c r="H119" s="151">
        <v>1.3694893671833708E-2</v>
      </c>
    </row>
    <row r="120" spans="1:8" outlineLevel="1" x14ac:dyDescent="0.25">
      <c r="A120" s="1" t="s">
        <v>950</v>
      </c>
      <c r="F120" s="151">
        <f>SUBTOTAL(9,F108:F119)</f>
        <v>136.69188341510406</v>
      </c>
      <c r="G120" s="151">
        <f>SUBTOTAL(9,G108:G119)</f>
        <v>156.24461533804123</v>
      </c>
      <c r="H120" s="151">
        <f>SUBTOTAL(9,H108:H119)</f>
        <v>292.93649875314532</v>
      </c>
    </row>
    <row r="121" spans="1:8" outlineLevel="2" x14ac:dyDescent="0.25">
      <c r="A121" t="s">
        <v>53</v>
      </c>
      <c r="B121" t="s">
        <v>939</v>
      </c>
      <c r="C121" t="s">
        <v>801</v>
      </c>
      <c r="D121" s="66">
        <v>5290.4000000000005</v>
      </c>
      <c r="E121" s="11">
        <v>10</v>
      </c>
      <c r="F121" s="151">
        <v>11.85205098908977</v>
      </c>
      <c r="G121" s="151">
        <v>47.408203956359081</v>
      </c>
      <c r="H121" s="151">
        <v>59.26025494544885</v>
      </c>
    </row>
    <row r="122" spans="1:8" outlineLevel="2" x14ac:dyDescent="0.25">
      <c r="A122" t="s">
        <v>53</v>
      </c>
      <c r="B122" t="s">
        <v>939</v>
      </c>
      <c r="C122" t="s">
        <v>802</v>
      </c>
      <c r="D122" s="66">
        <v>0</v>
      </c>
      <c r="E122" s="11">
        <v>65</v>
      </c>
      <c r="F122" s="151">
        <v>0</v>
      </c>
      <c r="G122" s="151">
        <v>0</v>
      </c>
      <c r="H122" s="151">
        <v>0</v>
      </c>
    </row>
    <row r="123" spans="1:8" outlineLevel="2" x14ac:dyDescent="0.25">
      <c r="A123" t="s">
        <v>53</v>
      </c>
      <c r="B123" t="s">
        <v>939</v>
      </c>
      <c r="C123" t="s">
        <v>803</v>
      </c>
      <c r="D123" s="66">
        <v>66.8</v>
      </c>
      <c r="E123" s="11">
        <v>13</v>
      </c>
      <c r="F123" s="151">
        <v>7.78188498330981E-2</v>
      </c>
      <c r="G123" s="151">
        <v>0.89491677308062823</v>
      </c>
      <c r="H123" s="151">
        <v>0.97273562291372628</v>
      </c>
    </row>
    <row r="124" spans="1:8" outlineLevel="2" x14ac:dyDescent="0.25">
      <c r="A124" t="s">
        <v>53</v>
      </c>
      <c r="B124" t="s">
        <v>939</v>
      </c>
      <c r="C124" t="s">
        <v>804</v>
      </c>
      <c r="D124" s="66">
        <v>378.40000000000003</v>
      </c>
      <c r="E124" s="11">
        <v>2.2000000000000002</v>
      </c>
      <c r="F124" s="151">
        <v>7.4599995519412168E-2</v>
      </c>
      <c r="G124" s="151">
        <v>0.85789994847323992</v>
      </c>
      <c r="H124" s="151">
        <v>0.93249994399265201</v>
      </c>
    </row>
    <row r="125" spans="1:8" outlineLevel="2" x14ac:dyDescent="0.25">
      <c r="A125" t="s">
        <v>53</v>
      </c>
      <c r="B125" t="s">
        <v>939</v>
      </c>
      <c r="C125" t="s">
        <v>805</v>
      </c>
      <c r="D125" s="66">
        <v>0</v>
      </c>
      <c r="E125" s="11">
        <v>3</v>
      </c>
      <c r="F125" s="151">
        <v>0</v>
      </c>
      <c r="G125" s="151">
        <v>0</v>
      </c>
      <c r="H125" s="151">
        <v>0</v>
      </c>
    </row>
    <row r="126" spans="1:8" outlineLevel="2" x14ac:dyDescent="0.25">
      <c r="A126" t="s">
        <v>53</v>
      </c>
      <c r="B126" t="s">
        <v>939</v>
      </c>
      <c r="C126" t="s">
        <v>806</v>
      </c>
      <c r="D126" s="66">
        <v>95.4</v>
      </c>
      <c r="E126" s="11">
        <v>0.08</v>
      </c>
      <c r="F126" s="151">
        <v>6.8391692990120315E-4</v>
      </c>
      <c r="G126" s="151">
        <v>7.865044693863836E-3</v>
      </c>
      <c r="H126" s="151">
        <v>8.5489616237650386E-3</v>
      </c>
    </row>
    <row r="127" spans="1:8" outlineLevel="2" x14ac:dyDescent="0.25">
      <c r="A127" t="s">
        <v>53</v>
      </c>
      <c r="B127" t="s">
        <v>810</v>
      </c>
      <c r="C127" t="s">
        <v>801</v>
      </c>
      <c r="D127" s="66">
        <v>21161.600000000002</v>
      </c>
      <c r="E127" s="11">
        <v>10</v>
      </c>
      <c r="F127" s="151">
        <v>47.408203956359081</v>
      </c>
      <c r="G127" s="151">
        <v>189.63281582543632</v>
      </c>
      <c r="H127" s="151">
        <v>237.0410197817954</v>
      </c>
    </row>
    <row r="128" spans="1:8" outlineLevel="2" x14ac:dyDescent="0.25">
      <c r="A128" t="s">
        <v>53</v>
      </c>
      <c r="B128" t="s">
        <v>810</v>
      </c>
      <c r="C128" t="s">
        <v>802</v>
      </c>
      <c r="D128" s="66">
        <v>0</v>
      </c>
      <c r="E128" s="11">
        <v>65</v>
      </c>
      <c r="F128" s="151">
        <v>0</v>
      </c>
      <c r="G128" s="151">
        <v>0</v>
      </c>
      <c r="H128" s="151">
        <v>0</v>
      </c>
    </row>
    <row r="129" spans="1:8" outlineLevel="2" x14ac:dyDescent="0.25">
      <c r="A129" t="s">
        <v>53</v>
      </c>
      <c r="B129" t="s">
        <v>810</v>
      </c>
      <c r="C129" t="s">
        <v>803</v>
      </c>
      <c r="D129" s="66">
        <v>267.2</v>
      </c>
      <c r="E129" s="11">
        <v>13</v>
      </c>
      <c r="F129" s="151">
        <v>0.77818849833098103</v>
      </c>
      <c r="G129" s="151">
        <v>3.1127539933239241</v>
      </c>
      <c r="H129" s="151">
        <v>3.8909424916549051</v>
      </c>
    </row>
    <row r="130" spans="1:8" outlineLevel="2" x14ac:dyDescent="0.25">
      <c r="A130" t="s">
        <v>53</v>
      </c>
      <c r="B130" t="s">
        <v>810</v>
      </c>
      <c r="C130" t="s">
        <v>804</v>
      </c>
      <c r="D130" s="66">
        <v>1513.6000000000001</v>
      </c>
      <c r="E130" s="11">
        <v>2.2000000000000002</v>
      </c>
      <c r="F130" s="151">
        <v>0.74599995519412166</v>
      </c>
      <c r="G130" s="151">
        <v>2.9839998207764866</v>
      </c>
      <c r="H130" s="151">
        <v>3.7299997759706081</v>
      </c>
    </row>
    <row r="131" spans="1:8" outlineLevel="2" x14ac:dyDescent="0.25">
      <c r="A131" t="s">
        <v>53</v>
      </c>
      <c r="B131" t="s">
        <v>810</v>
      </c>
      <c r="C131" t="s">
        <v>805</v>
      </c>
      <c r="D131" s="66">
        <v>0</v>
      </c>
      <c r="E131" s="11">
        <v>3</v>
      </c>
      <c r="F131" s="151">
        <v>0</v>
      </c>
      <c r="G131" s="151">
        <v>0</v>
      </c>
      <c r="H131" s="151">
        <v>0</v>
      </c>
    </row>
    <row r="132" spans="1:8" outlineLevel="2" x14ac:dyDescent="0.25">
      <c r="A132" t="s">
        <v>53</v>
      </c>
      <c r="B132" t="s">
        <v>810</v>
      </c>
      <c r="C132" t="s">
        <v>806</v>
      </c>
      <c r="D132" s="66">
        <v>381.6</v>
      </c>
      <c r="E132" s="11">
        <v>0.08</v>
      </c>
      <c r="F132" s="151">
        <v>0</v>
      </c>
      <c r="G132" s="151">
        <v>3.4195846495060155E-2</v>
      </c>
      <c r="H132" s="151">
        <v>3.4195846495060155E-2</v>
      </c>
    </row>
    <row r="133" spans="1:8" outlineLevel="1" x14ac:dyDescent="0.25">
      <c r="A133" s="1" t="s">
        <v>951</v>
      </c>
      <c r="F133" s="151">
        <f>SUBTOTAL(9,F121:F132)</f>
        <v>60.937546161256371</v>
      </c>
      <c r="G133" s="151">
        <f>SUBTOTAL(9,G121:G132)</f>
        <v>244.93265120863862</v>
      </c>
      <c r="H133" s="151">
        <f>SUBTOTAL(9,H121:H132)</f>
        <v>305.87019736989498</v>
      </c>
    </row>
    <row r="134" spans="1:8" outlineLevel="2" x14ac:dyDescent="0.25">
      <c r="A134" t="s">
        <v>54</v>
      </c>
      <c r="B134" t="s">
        <v>939</v>
      </c>
      <c r="C134" t="s">
        <v>801</v>
      </c>
      <c r="D134" s="66">
        <v>30999</v>
      </c>
      <c r="E134" s="11">
        <v>10</v>
      </c>
      <c r="F134" s="151">
        <v>69.446871429531555</v>
      </c>
      <c r="G134" s="151">
        <v>277.78748571812622</v>
      </c>
      <c r="H134" s="151">
        <v>347.23435714765776</v>
      </c>
    </row>
    <row r="135" spans="1:8" outlineLevel="2" x14ac:dyDescent="0.25">
      <c r="A135" t="s">
        <v>54</v>
      </c>
      <c r="B135" t="s">
        <v>939</v>
      </c>
      <c r="C135" t="s">
        <v>802</v>
      </c>
      <c r="D135" s="66">
        <v>0</v>
      </c>
      <c r="E135" s="11">
        <v>65</v>
      </c>
      <c r="F135" s="151">
        <v>0</v>
      </c>
      <c r="G135" s="151">
        <v>0</v>
      </c>
      <c r="H135" s="151">
        <v>0</v>
      </c>
    </row>
    <row r="136" spans="1:8" outlineLevel="2" x14ac:dyDescent="0.25">
      <c r="A136" t="s">
        <v>54</v>
      </c>
      <c r="B136" t="s">
        <v>939</v>
      </c>
      <c r="C136" t="s">
        <v>803</v>
      </c>
      <c r="D136" s="66">
        <v>300</v>
      </c>
      <c r="E136" s="11">
        <v>13</v>
      </c>
      <c r="F136" s="151">
        <v>0</v>
      </c>
      <c r="G136" s="151">
        <v>4.3685731567981723</v>
      </c>
      <c r="H136" s="151">
        <v>4.3685731567981723</v>
      </c>
    </row>
    <row r="137" spans="1:8" outlineLevel="2" x14ac:dyDescent="0.25">
      <c r="A137" t="s">
        <v>54</v>
      </c>
      <c r="B137" t="s">
        <v>939</v>
      </c>
      <c r="C137" t="s">
        <v>804</v>
      </c>
      <c r="D137" s="66">
        <v>64</v>
      </c>
      <c r="E137" s="11">
        <v>2.2000000000000002</v>
      </c>
      <c r="F137" s="151">
        <v>0</v>
      </c>
      <c r="G137" s="151">
        <v>0.15771669243004682</v>
      </c>
      <c r="H137" s="151">
        <v>0.15771669243004682</v>
      </c>
    </row>
    <row r="138" spans="1:8" outlineLevel="2" x14ac:dyDescent="0.25">
      <c r="A138" t="s">
        <v>54</v>
      </c>
      <c r="B138" t="s">
        <v>939</v>
      </c>
      <c r="C138" t="s">
        <v>805</v>
      </c>
      <c r="D138" s="66">
        <v>0</v>
      </c>
      <c r="E138" s="11">
        <v>3</v>
      </c>
      <c r="F138" s="151">
        <v>0</v>
      </c>
      <c r="G138" s="151">
        <v>0</v>
      </c>
      <c r="H138" s="151">
        <v>0</v>
      </c>
    </row>
    <row r="139" spans="1:8" outlineLevel="2" x14ac:dyDescent="0.25">
      <c r="A139" t="s">
        <v>54</v>
      </c>
      <c r="B139" t="s">
        <v>939</v>
      </c>
      <c r="C139" t="s">
        <v>806</v>
      </c>
      <c r="D139" s="66">
        <v>84.52695549892178</v>
      </c>
      <c r="E139" s="11">
        <v>0.08</v>
      </c>
      <c r="F139" s="151">
        <v>1.5149218002808752E-3</v>
      </c>
      <c r="G139" s="151">
        <v>6.0596872011235009E-3</v>
      </c>
      <c r="H139" s="151">
        <v>7.5746090014043761E-3</v>
      </c>
    </row>
    <row r="140" spans="1:8" outlineLevel="1" x14ac:dyDescent="0.25">
      <c r="A140" s="1" t="s">
        <v>952</v>
      </c>
      <c r="F140" s="151">
        <f>SUBTOTAL(9,F134:F139)</f>
        <v>69.448386351331834</v>
      </c>
      <c r="G140" s="151">
        <f>SUBTOTAL(9,G134:G139)</f>
        <v>282.31983525455553</v>
      </c>
      <c r="H140" s="151">
        <f>SUBTOTAL(9,H134:H139)</f>
        <v>351.76822160588733</v>
      </c>
    </row>
    <row r="141" spans="1:8" outlineLevel="2" x14ac:dyDescent="0.25">
      <c r="A141" t="s">
        <v>55</v>
      </c>
      <c r="B141" t="s">
        <v>809</v>
      </c>
      <c r="C141" t="s">
        <v>801</v>
      </c>
      <c r="D141" s="66">
        <v>20067.75</v>
      </c>
      <c r="E141" s="11">
        <v>10</v>
      </c>
      <c r="F141" s="151">
        <v>44.95765844478796</v>
      </c>
      <c r="G141" s="151">
        <v>179.83063377915184</v>
      </c>
      <c r="H141" s="151">
        <v>224.78829222393978</v>
      </c>
    </row>
    <row r="142" spans="1:8" outlineLevel="2" x14ac:dyDescent="0.25">
      <c r="A142" t="s">
        <v>55</v>
      </c>
      <c r="B142" t="s">
        <v>809</v>
      </c>
      <c r="C142" t="s">
        <v>802</v>
      </c>
      <c r="D142" s="66">
        <v>7.5</v>
      </c>
      <c r="E142" s="11">
        <v>65</v>
      </c>
      <c r="F142" s="151">
        <v>0</v>
      </c>
      <c r="G142" s="151">
        <v>0.54607164459977153</v>
      </c>
      <c r="H142" s="151">
        <v>0.54607164459977153</v>
      </c>
    </row>
    <row r="143" spans="1:8" outlineLevel="2" x14ac:dyDescent="0.25">
      <c r="A143" t="s">
        <v>55</v>
      </c>
      <c r="B143" t="s">
        <v>809</v>
      </c>
      <c r="C143" t="s">
        <v>803</v>
      </c>
      <c r="D143" s="66">
        <v>528.75</v>
      </c>
      <c r="E143" s="11">
        <v>13</v>
      </c>
      <c r="F143" s="151">
        <v>0</v>
      </c>
      <c r="G143" s="151">
        <v>7.6996101888567781</v>
      </c>
      <c r="H143" s="151">
        <v>7.6996101888567781</v>
      </c>
    </row>
    <row r="144" spans="1:8" outlineLevel="2" x14ac:dyDescent="0.25">
      <c r="A144" t="s">
        <v>55</v>
      </c>
      <c r="B144" t="s">
        <v>809</v>
      </c>
      <c r="C144" t="s">
        <v>804</v>
      </c>
      <c r="D144" s="66">
        <v>183.75</v>
      </c>
      <c r="E144" s="11">
        <v>2.2000000000000002</v>
      </c>
      <c r="F144" s="151">
        <v>9.0563881981315972E-2</v>
      </c>
      <c r="G144" s="151">
        <v>0.36225552792526389</v>
      </c>
      <c r="H144" s="151">
        <v>0.45281940990657982</v>
      </c>
    </row>
    <row r="145" spans="1:8" outlineLevel="2" x14ac:dyDescent="0.25">
      <c r="A145" t="s">
        <v>55</v>
      </c>
      <c r="B145" t="s">
        <v>809</v>
      </c>
      <c r="C145" t="s">
        <v>805</v>
      </c>
      <c r="D145" s="66">
        <v>79.5</v>
      </c>
      <c r="E145" s="11">
        <v>3</v>
      </c>
      <c r="F145" s="151">
        <v>0</v>
      </c>
      <c r="G145" s="151">
        <v>0.26715505074265744</v>
      </c>
      <c r="H145" s="151">
        <v>0.26715505074265744</v>
      </c>
    </row>
    <row r="146" spans="1:8" outlineLevel="2" x14ac:dyDescent="0.25">
      <c r="A146" t="s">
        <v>55</v>
      </c>
      <c r="B146" t="s">
        <v>809</v>
      </c>
      <c r="C146" t="s">
        <v>806</v>
      </c>
      <c r="D146" s="66">
        <v>183.75</v>
      </c>
      <c r="E146" s="11">
        <v>0.08</v>
      </c>
      <c r="F146" s="151">
        <v>0</v>
      </c>
      <c r="G146" s="151">
        <v>1.6466160360239266E-2</v>
      </c>
      <c r="H146" s="151">
        <v>1.6466160360239266E-2</v>
      </c>
    </row>
    <row r="147" spans="1:8" outlineLevel="2" x14ac:dyDescent="0.25">
      <c r="A147" t="s">
        <v>55</v>
      </c>
      <c r="B147" t="s">
        <v>811</v>
      </c>
      <c r="C147" t="s">
        <v>801</v>
      </c>
      <c r="D147" s="66">
        <v>6689.25</v>
      </c>
      <c r="E147" s="11">
        <v>10</v>
      </c>
      <c r="F147" s="151">
        <v>14.985886148262651</v>
      </c>
      <c r="G147" s="151">
        <v>59.943544593050603</v>
      </c>
      <c r="H147" s="151">
        <v>74.929430741313254</v>
      </c>
    </row>
    <row r="148" spans="1:8" outlineLevel="2" x14ac:dyDescent="0.25">
      <c r="A148" t="s">
        <v>55</v>
      </c>
      <c r="B148" t="s">
        <v>811</v>
      </c>
      <c r="C148" t="s">
        <v>802</v>
      </c>
      <c r="D148" s="66">
        <v>2.5</v>
      </c>
      <c r="E148" s="11">
        <v>65</v>
      </c>
      <c r="F148" s="151">
        <v>1.4561910522660574E-2</v>
      </c>
      <c r="G148" s="151">
        <v>0.16746197101059659</v>
      </c>
      <c r="H148" s="151">
        <v>0.18202388153325716</v>
      </c>
    </row>
    <row r="149" spans="1:8" outlineLevel="2" x14ac:dyDescent="0.25">
      <c r="A149" t="s">
        <v>55</v>
      </c>
      <c r="B149" t="s">
        <v>811</v>
      </c>
      <c r="C149" t="s">
        <v>803</v>
      </c>
      <c r="D149" s="66">
        <v>176.25</v>
      </c>
      <c r="E149" s="11">
        <v>13</v>
      </c>
      <c r="F149" s="151">
        <v>0.20532293836951407</v>
      </c>
      <c r="G149" s="151">
        <v>2.361213791249412</v>
      </c>
      <c r="H149" s="151">
        <v>2.5665367296189259</v>
      </c>
    </row>
    <row r="150" spans="1:8" outlineLevel="2" x14ac:dyDescent="0.25">
      <c r="A150" t="s">
        <v>55</v>
      </c>
      <c r="B150" t="s">
        <v>811</v>
      </c>
      <c r="C150" t="s">
        <v>804</v>
      </c>
      <c r="D150" s="66">
        <v>61.25</v>
      </c>
      <c r="E150" s="11">
        <v>2.2000000000000002</v>
      </c>
      <c r="F150" s="151">
        <v>1.207518426417546E-2</v>
      </c>
      <c r="G150" s="151">
        <v>0.13886461903801781</v>
      </c>
      <c r="H150" s="151">
        <v>0.15093980330219325</v>
      </c>
    </row>
    <row r="151" spans="1:8" outlineLevel="2" x14ac:dyDescent="0.25">
      <c r="A151" t="s">
        <v>55</v>
      </c>
      <c r="B151" t="s">
        <v>811</v>
      </c>
      <c r="C151" t="s">
        <v>805</v>
      </c>
      <c r="D151" s="66">
        <v>26.5</v>
      </c>
      <c r="E151" s="11">
        <v>3</v>
      </c>
      <c r="F151" s="151">
        <v>7.1241346864708652E-3</v>
      </c>
      <c r="G151" s="151">
        <v>8.1927548894414962E-2</v>
      </c>
      <c r="H151" s="151">
        <v>8.9051683580885818E-2</v>
      </c>
    </row>
    <row r="152" spans="1:8" outlineLevel="2" x14ac:dyDescent="0.25">
      <c r="A152" t="s">
        <v>55</v>
      </c>
      <c r="B152" t="s">
        <v>811</v>
      </c>
      <c r="C152" t="s">
        <v>806</v>
      </c>
      <c r="D152" s="66">
        <v>61.25</v>
      </c>
      <c r="E152" s="11">
        <v>0.08</v>
      </c>
      <c r="F152" s="151">
        <v>4.390976096063804E-4</v>
      </c>
      <c r="G152" s="151">
        <v>5.0496225104733746E-3</v>
      </c>
      <c r="H152" s="151">
        <v>5.4887201200797551E-3</v>
      </c>
    </row>
    <row r="153" spans="1:8" outlineLevel="1" x14ac:dyDescent="0.25">
      <c r="A153" s="1" t="s">
        <v>953</v>
      </c>
      <c r="F153" s="151">
        <f>SUBTOTAL(9,F141:F152)</f>
        <v>60.273631740484355</v>
      </c>
      <c r="G153" s="151">
        <f>SUBTOTAL(9,G141:G152)</f>
        <v>251.42025449739009</v>
      </c>
      <c r="H153" s="151">
        <f>SUBTOTAL(9,H141:H152)</f>
        <v>311.69388623787438</v>
      </c>
    </row>
    <row r="154" spans="1:8" outlineLevel="2" x14ac:dyDescent="0.25">
      <c r="A154" t="s">
        <v>56</v>
      </c>
      <c r="B154" t="s">
        <v>810</v>
      </c>
      <c r="C154" t="s">
        <v>801</v>
      </c>
      <c r="D154" s="66">
        <v>23532</v>
      </c>
      <c r="E154" s="11">
        <v>10</v>
      </c>
      <c r="F154" s="151">
        <v>26.3592983399422</v>
      </c>
      <c r="G154" s="151">
        <v>237.2336850594798</v>
      </c>
      <c r="H154" s="151">
        <v>263.592983399422</v>
      </c>
    </row>
    <row r="155" spans="1:8" outlineLevel="2" x14ac:dyDescent="0.25">
      <c r="A155" t="s">
        <v>56</v>
      </c>
      <c r="B155" t="s">
        <v>810</v>
      </c>
      <c r="C155" t="s">
        <v>802</v>
      </c>
      <c r="D155" s="66">
        <v>12800</v>
      </c>
      <c r="E155" s="11">
        <v>65</v>
      </c>
      <c r="F155" s="151">
        <v>74.556981876022135</v>
      </c>
      <c r="G155" s="151">
        <v>857.40529157425465</v>
      </c>
      <c r="H155" s="151">
        <v>931.96227345027671</v>
      </c>
    </row>
    <row r="156" spans="1:8" outlineLevel="2" x14ac:dyDescent="0.25">
      <c r="A156" t="s">
        <v>56</v>
      </c>
      <c r="B156" t="s">
        <v>810</v>
      </c>
      <c r="C156" t="s">
        <v>803</v>
      </c>
      <c r="D156" s="66">
        <v>237.20000000000002</v>
      </c>
      <c r="E156" s="11">
        <v>13</v>
      </c>
      <c r="F156" s="151">
        <v>0</v>
      </c>
      <c r="G156" s="151">
        <v>3.4540851759750884</v>
      </c>
      <c r="H156" s="151">
        <v>3.4540851759750884</v>
      </c>
    </row>
    <row r="157" spans="1:8" outlineLevel="2" x14ac:dyDescent="0.25">
      <c r="A157" t="s">
        <v>56</v>
      </c>
      <c r="B157" t="s">
        <v>810</v>
      </c>
      <c r="C157" t="s">
        <v>804</v>
      </c>
      <c r="D157" s="66">
        <v>659.2</v>
      </c>
      <c r="E157" s="11">
        <v>2.2000000000000002</v>
      </c>
      <c r="F157" s="151">
        <v>0.12995855456235861</v>
      </c>
      <c r="G157" s="151">
        <v>1.494523377467124</v>
      </c>
      <c r="H157" s="151">
        <v>1.6244819320294825</v>
      </c>
    </row>
    <row r="158" spans="1:8" outlineLevel="2" x14ac:dyDescent="0.25">
      <c r="A158" t="s">
        <v>56</v>
      </c>
      <c r="B158" t="s">
        <v>810</v>
      </c>
      <c r="C158" t="s">
        <v>805</v>
      </c>
      <c r="D158" s="66">
        <v>0</v>
      </c>
      <c r="E158" s="11">
        <v>3</v>
      </c>
      <c r="F158" s="151">
        <v>0</v>
      </c>
      <c r="G158" s="151">
        <v>0</v>
      </c>
      <c r="H158" s="151">
        <v>0</v>
      </c>
    </row>
    <row r="159" spans="1:8" outlineLevel="2" x14ac:dyDescent="0.25">
      <c r="A159" t="s">
        <v>56</v>
      </c>
      <c r="B159" t="s">
        <v>810</v>
      </c>
      <c r="C159" t="s">
        <v>806</v>
      </c>
      <c r="D159" s="66">
        <v>597.6</v>
      </c>
      <c r="E159" s="11">
        <v>0.08</v>
      </c>
      <c r="F159" s="151">
        <v>4.2841588816452721E-3</v>
      </c>
      <c r="G159" s="151">
        <v>4.9267827138920632E-2</v>
      </c>
      <c r="H159" s="151">
        <v>5.3551986020565899E-2</v>
      </c>
    </row>
    <row r="160" spans="1:8" outlineLevel="2" x14ac:dyDescent="0.25">
      <c r="A160" t="s">
        <v>56</v>
      </c>
      <c r="B160" t="s">
        <v>812</v>
      </c>
      <c r="C160" t="s">
        <v>801</v>
      </c>
      <c r="D160" s="66">
        <v>35298</v>
      </c>
      <c r="E160" s="11">
        <v>10</v>
      </c>
      <c r="F160" s="151">
        <v>39.538947509913299</v>
      </c>
      <c r="G160" s="151">
        <v>355.85052758921972</v>
      </c>
      <c r="H160" s="151">
        <v>395.38947509913299</v>
      </c>
    </row>
    <row r="161" spans="1:8" outlineLevel="2" x14ac:dyDescent="0.25">
      <c r="A161" t="s">
        <v>56</v>
      </c>
      <c r="B161" t="s">
        <v>812</v>
      </c>
      <c r="C161" t="s">
        <v>802</v>
      </c>
      <c r="D161" s="66">
        <v>19200</v>
      </c>
      <c r="E161" s="11">
        <v>65</v>
      </c>
      <c r="F161" s="151">
        <v>0</v>
      </c>
      <c r="G161" s="151">
        <v>1397.943410175415</v>
      </c>
      <c r="H161" s="151">
        <v>1397.943410175415</v>
      </c>
    </row>
    <row r="162" spans="1:8" outlineLevel="2" x14ac:dyDescent="0.25">
      <c r="A162" t="s">
        <v>56</v>
      </c>
      <c r="B162" t="s">
        <v>812</v>
      </c>
      <c r="C162" t="s">
        <v>803</v>
      </c>
      <c r="D162" s="66">
        <v>355.8</v>
      </c>
      <c r="E162" s="11">
        <v>13</v>
      </c>
      <c r="F162" s="151">
        <v>0</v>
      </c>
      <c r="G162" s="151">
        <v>5.1811277639626327</v>
      </c>
      <c r="H162" s="151">
        <v>5.1811277639626327</v>
      </c>
    </row>
    <row r="163" spans="1:8" outlineLevel="2" x14ac:dyDescent="0.25">
      <c r="A163" t="s">
        <v>56</v>
      </c>
      <c r="B163" t="s">
        <v>812</v>
      </c>
      <c r="C163" t="s">
        <v>804</v>
      </c>
      <c r="D163" s="66">
        <v>988.8</v>
      </c>
      <c r="E163" s="11">
        <v>2.2000000000000002</v>
      </c>
      <c r="F163" s="151">
        <v>0.24367228980442235</v>
      </c>
      <c r="G163" s="151">
        <v>2.1930506082398011</v>
      </c>
      <c r="H163" s="151">
        <v>2.4367228980442235</v>
      </c>
    </row>
    <row r="164" spans="1:8" outlineLevel="2" x14ac:dyDescent="0.25">
      <c r="A164" t="s">
        <v>56</v>
      </c>
      <c r="B164" t="s">
        <v>812</v>
      </c>
      <c r="C164" t="s">
        <v>805</v>
      </c>
      <c r="D164" s="66">
        <v>0</v>
      </c>
      <c r="E164" s="11">
        <v>3</v>
      </c>
      <c r="F164" s="151">
        <v>0</v>
      </c>
      <c r="G164" s="151">
        <v>0</v>
      </c>
      <c r="H164" s="151">
        <v>0</v>
      </c>
    </row>
    <row r="165" spans="1:8" outlineLevel="2" x14ac:dyDescent="0.25">
      <c r="A165" t="s">
        <v>56</v>
      </c>
      <c r="B165" t="s">
        <v>812</v>
      </c>
      <c r="C165" t="s">
        <v>806</v>
      </c>
      <c r="D165" s="66">
        <v>896.4</v>
      </c>
      <c r="E165" s="11">
        <v>0.08</v>
      </c>
      <c r="F165" s="151">
        <v>0</v>
      </c>
      <c r="G165" s="151">
        <v>8.0327979030848845E-2</v>
      </c>
      <c r="H165" s="151">
        <v>8.0327979030848845E-2</v>
      </c>
    </row>
    <row r="166" spans="1:8" outlineLevel="1" x14ac:dyDescent="0.25">
      <c r="A166" s="1" t="s">
        <v>954</v>
      </c>
      <c r="F166" s="151">
        <f>SUBTOTAL(9,F154:F165)</f>
        <v>140.83314272912605</v>
      </c>
      <c r="G166" s="151">
        <f>SUBTOTAL(9,G154:G165)</f>
        <v>2860.8852971301835</v>
      </c>
      <c r="H166" s="151">
        <f>SUBTOTAL(9,H154:H165)</f>
        <v>3001.7184398593095</v>
      </c>
    </row>
    <row r="167" spans="1:8" outlineLevel="2" x14ac:dyDescent="0.25">
      <c r="A167" t="s">
        <v>57</v>
      </c>
      <c r="B167" t="s">
        <v>810</v>
      </c>
      <c r="C167" t="s">
        <v>801</v>
      </c>
      <c r="D167" s="66">
        <v>18562.32</v>
      </c>
      <c r="E167" s="11">
        <v>10</v>
      </c>
      <c r="F167" s="151">
        <v>103.96263189730493</v>
      </c>
      <c r="G167" s="151">
        <v>103.96263189730493</v>
      </c>
      <c r="H167" s="151">
        <v>207.92526379460986</v>
      </c>
    </row>
    <row r="168" spans="1:8" outlineLevel="2" x14ac:dyDescent="0.25">
      <c r="A168" t="s">
        <v>57</v>
      </c>
      <c r="B168" t="s">
        <v>810</v>
      </c>
      <c r="C168" t="s">
        <v>802</v>
      </c>
      <c r="D168" s="66">
        <v>3.15</v>
      </c>
      <c r="E168" s="11">
        <v>65</v>
      </c>
      <c r="F168" s="151">
        <v>0</v>
      </c>
      <c r="G168" s="151">
        <v>0.22935009073190402</v>
      </c>
      <c r="H168" s="151">
        <v>0.22935009073190402</v>
      </c>
    </row>
    <row r="169" spans="1:8" outlineLevel="2" x14ac:dyDescent="0.25">
      <c r="A169" t="s">
        <v>57</v>
      </c>
      <c r="B169" t="s">
        <v>810</v>
      </c>
      <c r="C169" t="s">
        <v>803</v>
      </c>
      <c r="D169" s="66">
        <v>824.04</v>
      </c>
      <c r="E169" s="11">
        <v>13</v>
      </c>
      <c r="F169" s="151">
        <v>0</v>
      </c>
      <c r="G169" s="151">
        <v>11.99959674709322</v>
      </c>
      <c r="H169" s="151">
        <v>11.99959674709322</v>
      </c>
    </row>
    <row r="170" spans="1:8" outlineLevel="2" x14ac:dyDescent="0.25">
      <c r="A170" t="s">
        <v>57</v>
      </c>
      <c r="B170" t="s">
        <v>810</v>
      </c>
      <c r="C170" t="s">
        <v>804</v>
      </c>
      <c r="D170" s="66">
        <v>2266.7400000000002</v>
      </c>
      <c r="E170" s="11">
        <v>2.2000000000000002</v>
      </c>
      <c r="F170" s="151">
        <v>2.7929901203037848</v>
      </c>
      <c r="G170" s="151">
        <v>2.7929901203037848</v>
      </c>
      <c r="H170" s="151">
        <v>5.5859802406075696</v>
      </c>
    </row>
    <row r="171" spans="1:8" outlineLevel="2" x14ac:dyDescent="0.25">
      <c r="A171" t="s">
        <v>57</v>
      </c>
      <c r="B171" t="s">
        <v>810</v>
      </c>
      <c r="C171" t="s">
        <v>805</v>
      </c>
      <c r="D171" s="66">
        <v>20.16</v>
      </c>
      <c r="E171" s="11">
        <v>3</v>
      </c>
      <c r="F171" s="151">
        <v>0</v>
      </c>
      <c r="G171" s="151">
        <v>6.7746488339270119E-2</v>
      </c>
      <c r="H171" s="151">
        <v>6.7746488339270119E-2</v>
      </c>
    </row>
    <row r="172" spans="1:8" outlineLevel="2" x14ac:dyDescent="0.25">
      <c r="A172" t="s">
        <v>57</v>
      </c>
      <c r="B172" t="s">
        <v>810</v>
      </c>
      <c r="C172" t="s">
        <v>806</v>
      </c>
      <c r="D172" s="66">
        <v>953.31855038227798</v>
      </c>
      <c r="E172" s="11">
        <v>0.08</v>
      </c>
      <c r="F172" s="151">
        <v>0</v>
      </c>
      <c r="G172" s="151">
        <v>8.5428550340056725E-2</v>
      </c>
      <c r="H172" s="151">
        <v>8.5428550340056725E-2</v>
      </c>
    </row>
    <row r="173" spans="1:8" outlineLevel="2" x14ac:dyDescent="0.25">
      <c r="A173" t="s">
        <v>57</v>
      </c>
      <c r="B173" t="s">
        <v>811</v>
      </c>
      <c r="C173" t="s">
        <v>801</v>
      </c>
      <c r="D173" s="66">
        <v>10901.68</v>
      </c>
      <c r="E173" s="11">
        <v>10</v>
      </c>
      <c r="F173" s="151">
        <v>61.057418733337812</v>
      </c>
      <c r="G173" s="151">
        <v>61.057418733337812</v>
      </c>
      <c r="H173" s="151">
        <v>122.11483746667562</v>
      </c>
    </row>
    <row r="174" spans="1:8" outlineLevel="2" x14ac:dyDescent="0.25">
      <c r="A174" t="s">
        <v>57</v>
      </c>
      <c r="B174" t="s">
        <v>811</v>
      </c>
      <c r="C174" t="s">
        <v>802</v>
      </c>
      <c r="D174" s="66">
        <v>1.85</v>
      </c>
      <c r="E174" s="11">
        <v>65</v>
      </c>
      <c r="F174" s="151">
        <v>1.0775813786768824E-2</v>
      </c>
      <c r="G174" s="151">
        <v>0.12392185854784149</v>
      </c>
      <c r="H174" s="151">
        <v>0.1346976723346103</v>
      </c>
    </row>
    <row r="175" spans="1:8" outlineLevel="2" x14ac:dyDescent="0.25">
      <c r="A175" t="s">
        <v>57</v>
      </c>
      <c r="B175" t="s">
        <v>811</v>
      </c>
      <c r="C175" t="s">
        <v>803</v>
      </c>
      <c r="D175" s="66">
        <v>483.96</v>
      </c>
      <c r="E175" s="11">
        <v>13</v>
      </c>
      <c r="F175" s="151">
        <v>0</v>
      </c>
      <c r="G175" s="151">
        <v>7.0473822165468105</v>
      </c>
      <c r="H175" s="151">
        <v>7.0473822165468105</v>
      </c>
    </row>
    <row r="176" spans="1:8" outlineLevel="2" x14ac:dyDescent="0.25">
      <c r="A176" t="s">
        <v>57</v>
      </c>
      <c r="B176" t="s">
        <v>811</v>
      </c>
      <c r="C176" t="s">
        <v>804</v>
      </c>
      <c r="D176" s="66">
        <v>1331.26</v>
      </c>
      <c r="E176" s="11">
        <v>2.2000000000000002</v>
      </c>
      <c r="F176" s="151">
        <v>1.6403275309720637</v>
      </c>
      <c r="G176" s="151">
        <v>1.6403275309720637</v>
      </c>
      <c r="H176" s="151">
        <v>3.2806550619441275</v>
      </c>
    </row>
    <row r="177" spans="1:8" outlineLevel="2" x14ac:dyDescent="0.25">
      <c r="A177" t="s">
        <v>57</v>
      </c>
      <c r="B177" t="s">
        <v>811</v>
      </c>
      <c r="C177" t="s">
        <v>805</v>
      </c>
      <c r="D177" s="66">
        <v>11.84</v>
      </c>
      <c r="E177" s="11">
        <v>3</v>
      </c>
      <c r="F177" s="151">
        <v>0</v>
      </c>
      <c r="G177" s="151">
        <v>3.9787620135761807E-2</v>
      </c>
      <c r="H177" s="151">
        <v>3.9787620135761807E-2</v>
      </c>
    </row>
    <row r="178" spans="1:8" outlineLevel="2" x14ac:dyDescent="0.25">
      <c r="A178" t="s">
        <v>57</v>
      </c>
      <c r="B178" t="s">
        <v>811</v>
      </c>
      <c r="C178" t="s">
        <v>806</v>
      </c>
      <c r="D178" s="66">
        <v>559.88549784356007</v>
      </c>
      <c r="E178" s="11">
        <v>0.08</v>
      </c>
      <c r="F178" s="151">
        <v>0</v>
      </c>
      <c r="G178" s="151">
        <v>5.0172323215588871E-2</v>
      </c>
      <c r="H178" s="151">
        <v>5.0172323215588871E-2</v>
      </c>
    </row>
    <row r="179" spans="1:8" outlineLevel="1" x14ac:dyDescent="0.25">
      <c r="A179" s="1" t="s">
        <v>955</v>
      </c>
      <c r="F179" s="151">
        <f>SUBTOTAL(9,F167:F178)</f>
        <v>169.46414409570536</v>
      </c>
      <c r="G179" s="151">
        <f>SUBTOTAL(9,G167:G178)</f>
        <v>189.09675417686904</v>
      </c>
      <c r="H179" s="151">
        <f>SUBTOTAL(9,H167:H178)</f>
        <v>358.56089827257438</v>
      </c>
    </row>
    <row r="180" spans="1:8" outlineLevel="2" x14ac:dyDescent="0.25">
      <c r="A180" t="s">
        <v>58</v>
      </c>
      <c r="B180" t="s">
        <v>811</v>
      </c>
      <c r="C180" t="s">
        <v>801</v>
      </c>
      <c r="D180" s="66">
        <v>0</v>
      </c>
      <c r="E180" s="11">
        <v>10</v>
      </c>
      <c r="F180" s="151">
        <v>0</v>
      </c>
      <c r="G180" s="151">
        <v>0</v>
      </c>
      <c r="H180" s="151">
        <v>0</v>
      </c>
    </row>
    <row r="181" spans="1:8" outlineLevel="2" x14ac:dyDescent="0.25">
      <c r="A181" t="s">
        <v>58</v>
      </c>
      <c r="B181" t="s">
        <v>811</v>
      </c>
      <c r="C181" t="s">
        <v>802</v>
      </c>
      <c r="D181" s="66">
        <v>0</v>
      </c>
      <c r="E181" s="11">
        <v>65</v>
      </c>
      <c r="F181" s="151">
        <v>0</v>
      </c>
      <c r="G181" s="151">
        <v>0</v>
      </c>
      <c r="H181" s="151">
        <v>0</v>
      </c>
    </row>
    <row r="182" spans="1:8" outlineLevel="2" x14ac:dyDescent="0.25">
      <c r="A182" t="s">
        <v>58</v>
      </c>
      <c r="B182" t="s">
        <v>811</v>
      </c>
      <c r="C182" t="s">
        <v>803</v>
      </c>
      <c r="D182" s="66">
        <v>0</v>
      </c>
      <c r="E182" s="11">
        <v>13</v>
      </c>
      <c r="F182" s="151">
        <v>0</v>
      </c>
      <c r="G182" s="151">
        <v>0</v>
      </c>
      <c r="H182" s="151">
        <v>0</v>
      </c>
    </row>
    <row r="183" spans="1:8" outlineLevel="2" x14ac:dyDescent="0.25">
      <c r="A183" t="s">
        <v>58</v>
      </c>
      <c r="B183" t="s">
        <v>811</v>
      </c>
      <c r="C183" t="s">
        <v>804</v>
      </c>
      <c r="D183" s="66">
        <v>0</v>
      </c>
      <c r="E183" s="11">
        <v>2.2000000000000002</v>
      </c>
      <c r="F183" s="151">
        <v>0</v>
      </c>
      <c r="G183" s="151">
        <v>0</v>
      </c>
      <c r="H183" s="151">
        <v>0</v>
      </c>
    </row>
    <row r="184" spans="1:8" outlineLevel="2" x14ac:dyDescent="0.25">
      <c r="A184" t="s">
        <v>58</v>
      </c>
      <c r="B184" t="s">
        <v>811</v>
      </c>
      <c r="C184" t="s">
        <v>805</v>
      </c>
      <c r="D184" s="66">
        <v>0</v>
      </c>
      <c r="E184" s="11">
        <v>3</v>
      </c>
      <c r="F184" s="151">
        <v>0</v>
      </c>
      <c r="G184" s="151">
        <v>0</v>
      </c>
      <c r="H184" s="151">
        <v>0</v>
      </c>
    </row>
    <row r="185" spans="1:8" outlineLevel="2" x14ac:dyDescent="0.25">
      <c r="A185" t="s">
        <v>58</v>
      </c>
      <c r="B185" t="s">
        <v>811</v>
      </c>
      <c r="C185" t="s">
        <v>806</v>
      </c>
      <c r="D185" s="66">
        <v>0</v>
      </c>
      <c r="E185" s="11">
        <v>0.08</v>
      </c>
      <c r="F185" s="151">
        <v>0</v>
      </c>
      <c r="G185" s="151">
        <v>0</v>
      </c>
      <c r="H185" s="151">
        <v>0</v>
      </c>
    </row>
    <row r="186" spans="1:8" outlineLevel="1" x14ac:dyDescent="0.25">
      <c r="A186" s="1" t="s">
        <v>956</v>
      </c>
      <c r="F186" s="151">
        <f>SUBTOTAL(9,F180:F185)</f>
        <v>0</v>
      </c>
      <c r="G186" s="151">
        <f>SUBTOTAL(9,G180:G185)</f>
        <v>0</v>
      </c>
      <c r="H186" s="151">
        <f>SUBTOTAL(9,H180:H185)</f>
        <v>0</v>
      </c>
    </row>
    <row r="187" spans="1:8" outlineLevel="2" x14ac:dyDescent="0.25">
      <c r="A187" t="s">
        <v>59</v>
      </c>
      <c r="B187" t="s">
        <v>809</v>
      </c>
      <c r="C187" t="s">
        <v>801</v>
      </c>
      <c r="D187" s="66">
        <v>0</v>
      </c>
      <c r="E187" s="11">
        <v>10</v>
      </c>
      <c r="F187" s="151">
        <v>0</v>
      </c>
      <c r="G187" s="151">
        <v>0</v>
      </c>
      <c r="H187" s="151">
        <v>0</v>
      </c>
    </row>
    <row r="188" spans="1:8" outlineLevel="2" x14ac:dyDescent="0.25">
      <c r="A188" t="s">
        <v>59</v>
      </c>
      <c r="B188" t="s">
        <v>809</v>
      </c>
      <c r="C188" t="s">
        <v>802</v>
      </c>
      <c r="D188" s="66">
        <v>0</v>
      </c>
      <c r="E188" s="11">
        <v>65</v>
      </c>
      <c r="F188" s="151">
        <v>0</v>
      </c>
      <c r="G188" s="151">
        <v>0</v>
      </c>
      <c r="H188" s="151">
        <v>0</v>
      </c>
    </row>
    <row r="189" spans="1:8" outlineLevel="2" x14ac:dyDescent="0.25">
      <c r="A189" t="s">
        <v>59</v>
      </c>
      <c r="B189" t="s">
        <v>809</v>
      </c>
      <c r="C189" t="s">
        <v>803</v>
      </c>
      <c r="D189" s="66">
        <v>0</v>
      </c>
      <c r="E189" s="11">
        <v>13</v>
      </c>
      <c r="F189" s="151">
        <v>0</v>
      </c>
      <c r="G189" s="151">
        <v>0</v>
      </c>
      <c r="H189" s="151">
        <v>0</v>
      </c>
    </row>
    <row r="190" spans="1:8" outlineLevel="2" x14ac:dyDescent="0.25">
      <c r="A190" t="s">
        <v>59</v>
      </c>
      <c r="B190" t="s">
        <v>809</v>
      </c>
      <c r="C190" t="s">
        <v>804</v>
      </c>
      <c r="D190" s="66">
        <v>0</v>
      </c>
      <c r="E190" s="11">
        <v>2.2000000000000002</v>
      </c>
      <c r="F190" s="151">
        <v>0</v>
      </c>
      <c r="G190" s="151">
        <v>0</v>
      </c>
      <c r="H190" s="151">
        <v>0</v>
      </c>
    </row>
    <row r="191" spans="1:8" outlineLevel="2" x14ac:dyDescent="0.25">
      <c r="A191" t="s">
        <v>59</v>
      </c>
      <c r="B191" t="s">
        <v>809</v>
      </c>
      <c r="C191" t="s">
        <v>805</v>
      </c>
      <c r="D191" s="66">
        <v>0</v>
      </c>
      <c r="E191" s="11">
        <v>3</v>
      </c>
      <c r="F191" s="151">
        <v>0</v>
      </c>
      <c r="G191" s="151">
        <v>0</v>
      </c>
      <c r="H191" s="151">
        <v>0</v>
      </c>
    </row>
    <row r="192" spans="1:8" outlineLevel="2" x14ac:dyDescent="0.25">
      <c r="A192" t="s">
        <v>59</v>
      </c>
      <c r="B192" t="s">
        <v>809</v>
      </c>
      <c r="C192" t="s">
        <v>806</v>
      </c>
      <c r="D192" s="66">
        <v>0</v>
      </c>
      <c r="E192" s="11">
        <v>0.08</v>
      </c>
      <c r="F192" s="151">
        <v>0</v>
      </c>
      <c r="G192" s="151">
        <v>0</v>
      </c>
      <c r="H192" s="151">
        <v>0</v>
      </c>
    </row>
    <row r="193" spans="1:8" outlineLevel="2" x14ac:dyDescent="0.25">
      <c r="A193" t="s">
        <v>59</v>
      </c>
      <c r="B193" t="s">
        <v>811</v>
      </c>
      <c r="C193" t="s">
        <v>801</v>
      </c>
      <c r="D193" s="66">
        <v>19000</v>
      </c>
      <c r="E193" s="11">
        <v>10</v>
      </c>
      <c r="F193" s="151">
        <v>42.565584604700142</v>
      </c>
      <c r="G193" s="151">
        <v>170.26233841880057</v>
      </c>
      <c r="H193" s="151">
        <v>212.82792302350069</v>
      </c>
    </row>
    <row r="194" spans="1:8" outlineLevel="2" x14ac:dyDescent="0.25">
      <c r="A194" t="s">
        <v>59</v>
      </c>
      <c r="B194" t="s">
        <v>811</v>
      </c>
      <c r="C194" t="s">
        <v>802</v>
      </c>
      <c r="D194" s="66">
        <v>10856</v>
      </c>
      <c r="E194" s="11">
        <v>65</v>
      </c>
      <c r="F194" s="151">
        <v>0</v>
      </c>
      <c r="G194" s="151">
        <v>790.42050317001588</v>
      </c>
      <c r="H194" s="151">
        <v>790.42050317001588</v>
      </c>
    </row>
    <row r="195" spans="1:8" outlineLevel="2" x14ac:dyDescent="0.25">
      <c r="A195" t="s">
        <v>59</v>
      </c>
      <c r="B195" t="s">
        <v>811</v>
      </c>
      <c r="C195" t="s">
        <v>803</v>
      </c>
      <c r="D195" s="66">
        <v>600</v>
      </c>
      <c r="E195" s="11">
        <v>13</v>
      </c>
      <c r="F195" s="151">
        <v>0</v>
      </c>
      <c r="G195" s="151">
        <v>8.7371463135963445</v>
      </c>
      <c r="H195" s="151">
        <v>8.7371463135963445</v>
      </c>
    </row>
    <row r="196" spans="1:8" outlineLevel="2" x14ac:dyDescent="0.25">
      <c r="A196" t="s">
        <v>59</v>
      </c>
      <c r="B196" t="s">
        <v>811</v>
      </c>
      <c r="C196" t="s">
        <v>804</v>
      </c>
      <c r="D196" s="66">
        <v>200</v>
      </c>
      <c r="E196" s="11">
        <v>2.2000000000000002</v>
      </c>
      <c r="F196" s="151">
        <v>9.8572932768779278E-2</v>
      </c>
      <c r="G196" s="151">
        <v>0.39429173107511711</v>
      </c>
      <c r="H196" s="151">
        <v>0.49286466384389638</v>
      </c>
    </row>
    <row r="197" spans="1:8" outlineLevel="2" x14ac:dyDescent="0.25">
      <c r="A197" t="s">
        <v>59</v>
      </c>
      <c r="B197" t="s">
        <v>811</v>
      </c>
      <c r="C197" t="s">
        <v>805</v>
      </c>
      <c r="D197" s="66">
        <v>100</v>
      </c>
      <c r="E197" s="11">
        <v>3</v>
      </c>
      <c r="F197" s="151">
        <v>0</v>
      </c>
      <c r="G197" s="151">
        <v>0.33604408898447474</v>
      </c>
      <c r="H197" s="151">
        <v>0.33604408898447474</v>
      </c>
    </row>
    <row r="198" spans="1:8" outlineLevel="2" x14ac:dyDescent="0.25">
      <c r="A198" t="s">
        <v>59</v>
      </c>
      <c r="B198" t="s">
        <v>811</v>
      </c>
      <c r="C198" t="s">
        <v>806</v>
      </c>
      <c r="D198" s="66">
        <v>647.74963732601452</v>
      </c>
      <c r="E198" s="11">
        <v>0.08</v>
      </c>
      <c r="F198" s="151">
        <v>0</v>
      </c>
      <c r="G198" s="151">
        <v>5.8045983137398525E-2</v>
      </c>
      <c r="H198" s="151">
        <v>5.8045983137398525E-2</v>
      </c>
    </row>
    <row r="199" spans="1:8" outlineLevel="1" x14ac:dyDescent="0.25">
      <c r="A199" s="1" t="s">
        <v>957</v>
      </c>
      <c r="F199" s="151">
        <f>SUBTOTAL(9,F187:F198)</f>
        <v>42.664157537468924</v>
      </c>
      <c r="G199" s="151">
        <f>SUBTOTAL(9,G187:G198)</f>
        <v>970.20836970560981</v>
      </c>
      <c r="H199" s="151">
        <f>SUBTOTAL(9,H187:H198)</f>
        <v>1012.8725272430787</v>
      </c>
    </row>
    <row r="200" spans="1:8" outlineLevel="2" x14ac:dyDescent="0.25">
      <c r="A200" t="s">
        <v>60</v>
      </c>
      <c r="B200" t="s">
        <v>809</v>
      </c>
      <c r="C200" t="s">
        <v>801</v>
      </c>
      <c r="D200" s="66">
        <v>4258.2</v>
      </c>
      <c r="E200" s="11">
        <v>10</v>
      </c>
      <c r="F200" s="151">
        <v>9.539619598091269</v>
      </c>
      <c r="G200" s="151">
        <v>38.158478392365076</v>
      </c>
      <c r="H200" s="151">
        <v>47.698097990456347</v>
      </c>
    </row>
    <row r="201" spans="1:8" outlineLevel="2" x14ac:dyDescent="0.25">
      <c r="A201" t="s">
        <v>60</v>
      </c>
      <c r="B201" t="s">
        <v>809</v>
      </c>
      <c r="C201" t="s">
        <v>802</v>
      </c>
      <c r="D201" s="66">
        <v>0</v>
      </c>
      <c r="E201" s="11">
        <v>65</v>
      </c>
      <c r="F201" s="151">
        <v>0</v>
      </c>
      <c r="G201" s="151">
        <v>0</v>
      </c>
      <c r="H201" s="151">
        <v>0</v>
      </c>
    </row>
    <row r="202" spans="1:8" outlineLevel="2" x14ac:dyDescent="0.25">
      <c r="A202" t="s">
        <v>60</v>
      </c>
      <c r="B202" t="s">
        <v>809</v>
      </c>
      <c r="C202" t="s">
        <v>803</v>
      </c>
      <c r="D202" s="66">
        <v>88.8</v>
      </c>
      <c r="E202" s="11">
        <v>13</v>
      </c>
      <c r="F202" s="151">
        <v>0</v>
      </c>
      <c r="G202" s="151">
        <v>1.2930976544122588</v>
      </c>
      <c r="H202" s="151">
        <v>1.2930976544122588</v>
      </c>
    </row>
    <row r="203" spans="1:8" outlineLevel="2" x14ac:dyDescent="0.25">
      <c r="A203" t="s">
        <v>60</v>
      </c>
      <c r="B203" t="s">
        <v>809</v>
      </c>
      <c r="C203" t="s">
        <v>804</v>
      </c>
      <c r="D203" s="66">
        <v>631.79999999999995</v>
      </c>
      <c r="E203" s="11">
        <v>2.2000000000000002</v>
      </c>
      <c r="F203" s="151">
        <v>0.31139189461657368</v>
      </c>
      <c r="G203" s="151">
        <v>1.2455675784662947</v>
      </c>
      <c r="H203" s="151">
        <v>1.5569594730828684</v>
      </c>
    </row>
    <row r="204" spans="1:8" outlineLevel="2" x14ac:dyDescent="0.25">
      <c r="A204" t="s">
        <v>60</v>
      </c>
      <c r="B204" t="s">
        <v>809</v>
      </c>
      <c r="C204" t="s">
        <v>805</v>
      </c>
      <c r="D204" s="66">
        <v>2.4</v>
      </c>
      <c r="E204" s="11">
        <v>3</v>
      </c>
      <c r="F204" s="151">
        <v>0</v>
      </c>
      <c r="G204" s="151">
        <v>8.0650581356273929E-3</v>
      </c>
      <c r="H204" s="151">
        <v>8.0650581356273929E-3</v>
      </c>
    </row>
    <row r="205" spans="1:8" outlineLevel="2" x14ac:dyDescent="0.25">
      <c r="A205" t="s">
        <v>60</v>
      </c>
      <c r="B205" t="s">
        <v>809</v>
      </c>
      <c r="C205" t="s">
        <v>806</v>
      </c>
      <c r="D205" s="66">
        <v>1400.3999999999999</v>
      </c>
      <c r="E205" s="11">
        <v>0.08</v>
      </c>
      <c r="F205" s="151">
        <v>0</v>
      </c>
      <c r="G205" s="151">
        <v>0.12549230459036226</v>
      </c>
      <c r="H205" s="151">
        <v>0.12549230459036226</v>
      </c>
    </row>
    <row r="206" spans="1:8" outlineLevel="2" x14ac:dyDescent="0.25">
      <c r="A206" t="s">
        <v>60</v>
      </c>
      <c r="B206" t="s">
        <v>811</v>
      </c>
      <c r="C206" t="s">
        <v>801</v>
      </c>
      <c r="D206" s="66">
        <v>1419.4</v>
      </c>
      <c r="E206" s="11">
        <v>10</v>
      </c>
      <c r="F206" s="151">
        <v>3.1798731993637563</v>
      </c>
      <c r="G206" s="151">
        <v>12.719492797455025</v>
      </c>
      <c r="H206" s="151">
        <v>15.899365996818782</v>
      </c>
    </row>
    <row r="207" spans="1:8" outlineLevel="2" x14ac:dyDescent="0.25">
      <c r="A207" t="s">
        <v>60</v>
      </c>
      <c r="B207" t="s">
        <v>811</v>
      </c>
      <c r="C207" t="s">
        <v>802</v>
      </c>
      <c r="D207" s="66">
        <v>0</v>
      </c>
      <c r="E207" s="11">
        <v>65</v>
      </c>
      <c r="F207" s="151">
        <v>0</v>
      </c>
      <c r="G207" s="151">
        <v>0</v>
      </c>
      <c r="H207" s="151">
        <v>0</v>
      </c>
    </row>
    <row r="208" spans="1:8" outlineLevel="2" x14ac:dyDescent="0.25">
      <c r="A208" t="s">
        <v>60</v>
      </c>
      <c r="B208" t="s">
        <v>811</v>
      </c>
      <c r="C208" t="s">
        <v>803</v>
      </c>
      <c r="D208" s="66">
        <v>29.6</v>
      </c>
      <c r="E208" s="11">
        <v>13</v>
      </c>
      <c r="F208" s="151">
        <v>0</v>
      </c>
      <c r="G208" s="151">
        <v>0.43103255147075298</v>
      </c>
      <c r="H208" s="151">
        <v>0.43103255147075298</v>
      </c>
    </row>
    <row r="209" spans="1:8" outlineLevel="2" x14ac:dyDescent="0.25">
      <c r="A209" t="s">
        <v>60</v>
      </c>
      <c r="B209" t="s">
        <v>811</v>
      </c>
      <c r="C209" t="s">
        <v>804</v>
      </c>
      <c r="D209" s="66">
        <v>210.60000000000002</v>
      </c>
      <c r="E209" s="11">
        <v>2.2000000000000002</v>
      </c>
      <c r="F209" s="151">
        <v>0.10379729820552459</v>
      </c>
      <c r="G209" s="151">
        <v>0.41518919282209837</v>
      </c>
      <c r="H209" s="151">
        <v>0.51898649102762295</v>
      </c>
    </row>
    <row r="210" spans="1:8" outlineLevel="2" x14ac:dyDescent="0.25">
      <c r="A210" t="s">
        <v>60</v>
      </c>
      <c r="B210" t="s">
        <v>811</v>
      </c>
      <c r="C210" t="s">
        <v>805</v>
      </c>
      <c r="D210" s="66">
        <v>0.8</v>
      </c>
      <c r="E210" s="11">
        <v>3</v>
      </c>
      <c r="F210" s="151">
        <v>0</v>
      </c>
      <c r="G210" s="151">
        <v>2.6883527118757985E-3</v>
      </c>
      <c r="H210" s="151">
        <v>2.6883527118757985E-3</v>
      </c>
    </row>
    <row r="211" spans="1:8" outlineLevel="2" x14ac:dyDescent="0.25">
      <c r="A211" t="s">
        <v>60</v>
      </c>
      <c r="B211" t="s">
        <v>811</v>
      </c>
      <c r="C211" t="s">
        <v>806</v>
      </c>
      <c r="D211" s="66">
        <v>466.8</v>
      </c>
      <c r="E211" s="11">
        <v>0.08</v>
      </c>
      <c r="F211" s="151">
        <v>0</v>
      </c>
      <c r="G211" s="151">
        <v>4.1830768196787417E-2</v>
      </c>
      <c r="H211" s="151">
        <v>4.1830768196787417E-2</v>
      </c>
    </row>
    <row r="212" spans="1:8" outlineLevel="2" x14ac:dyDescent="0.25">
      <c r="A212" t="s">
        <v>60</v>
      </c>
      <c r="B212" t="s">
        <v>813</v>
      </c>
      <c r="C212" t="s">
        <v>801</v>
      </c>
      <c r="D212" s="66">
        <v>1419.4</v>
      </c>
      <c r="E212" s="11">
        <v>10</v>
      </c>
      <c r="F212" s="151">
        <v>3.1798731993637563</v>
      </c>
      <c r="G212" s="151">
        <v>12.719492797455025</v>
      </c>
      <c r="H212" s="151">
        <v>15.899365996818782</v>
      </c>
    </row>
    <row r="213" spans="1:8" outlineLevel="2" x14ac:dyDescent="0.25">
      <c r="A213" t="s">
        <v>60</v>
      </c>
      <c r="B213" t="s">
        <v>813</v>
      </c>
      <c r="C213" t="s">
        <v>802</v>
      </c>
      <c r="D213" s="66">
        <v>0</v>
      </c>
      <c r="E213" s="11">
        <v>65</v>
      </c>
      <c r="F213" s="151">
        <v>0</v>
      </c>
      <c r="G213" s="151">
        <v>0</v>
      </c>
      <c r="H213" s="151">
        <v>0</v>
      </c>
    </row>
    <row r="214" spans="1:8" outlineLevel="2" x14ac:dyDescent="0.25">
      <c r="A214" t="s">
        <v>60</v>
      </c>
      <c r="B214" t="s">
        <v>813</v>
      </c>
      <c r="C214" t="s">
        <v>803</v>
      </c>
      <c r="D214" s="66">
        <v>29.6</v>
      </c>
      <c r="E214" s="11">
        <v>13</v>
      </c>
      <c r="F214" s="151">
        <v>0</v>
      </c>
      <c r="G214" s="151">
        <v>0.43103255147075298</v>
      </c>
      <c r="H214" s="151">
        <v>0.43103255147075298</v>
      </c>
    </row>
    <row r="215" spans="1:8" outlineLevel="2" x14ac:dyDescent="0.25">
      <c r="A215" t="s">
        <v>60</v>
      </c>
      <c r="B215" t="s">
        <v>813</v>
      </c>
      <c r="C215" t="s">
        <v>804</v>
      </c>
      <c r="D215" s="66">
        <v>210.60000000000002</v>
      </c>
      <c r="E215" s="11">
        <v>2.2000000000000002</v>
      </c>
      <c r="F215" s="151">
        <v>0.10379729820552459</v>
      </c>
      <c r="G215" s="151">
        <v>0.41518919282209837</v>
      </c>
      <c r="H215" s="151">
        <v>0.51898649102762295</v>
      </c>
    </row>
    <row r="216" spans="1:8" outlineLevel="2" x14ac:dyDescent="0.25">
      <c r="A216" t="s">
        <v>60</v>
      </c>
      <c r="B216" t="s">
        <v>813</v>
      </c>
      <c r="C216" t="s">
        <v>805</v>
      </c>
      <c r="D216" s="66">
        <v>0.8</v>
      </c>
      <c r="E216" s="11">
        <v>3</v>
      </c>
      <c r="F216" s="151">
        <v>0</v>
      </c>
      <c r="G216" s="151">
        <v>2.6883527118757985E-3</v>
      </c>
      <c r="H216" s="151">
        <v>2.6883527118757985E-3</v>
      </c>
    </row>
    <row r="217" spans="1:8" outlineLevel="2" x14ac:dyDescent="0.25">
      <c r="A217" t="s">
        <v>60</v>
      </c>
      <c r="B217" t="s">
        <v>813</v>
      </c>
      <c r="C217" t="s">
        <v>806</v>
      </c>
      <c r="D217" s="66">
        <v>466.8</v>
      </c>
      <c r="E217" s="11">
        <v>0.08</v>
      </c>
      <c r="F217" s="151">
        <v>3.3464614557429935E-3</v>
      </c>
      <c r="G217" s="151">
        <v>3.8484306741044423E-2</v>
      </c>
      <c r="H217" s="151">
        <v>4.1830768196787417E-2</v>
      </c>
    </row>
    <row r="218" spans="1:8" outlineLevel="1" x14ac:dyDescent="0.25">
      <c r="A218" s="1" t="s">
        <v>958</v>
      </c>
      <c r="F218" s="151">
        <f>SUBTOTAL(9,F200:F217)</f>
        <v>16.421698949302144</v>
      </c>
      <c r="G218" s="151">
        <f>SUBTOTAL(9,G200:G217)</f>
        <v>68.047821851826939</v>
      </c>
      <c r="H218" s="151">
        <f>SUBTOTAL(9,H200:H217)</f>
        <v>84.469520801129093</v>
      </c>
    </row>
    <row r="219" spans="1:8" outlineLevel="2" x14ac:dyDescent="0.25">
      <c r="A219" t="s">
        <v>61</v>
      </c>
      <c r="B219" t="s">
        <v>939</v>
      </c>
      <c r="C219" t="s">
        <v>801</v>
      </c>
      <c r="D219" s="66">
        <v>25000</v>
      </c>
      <c r="E219" s="11">
        <v>10</v>
      </c>
      <c r="F219" s="151">
        <v>140.0183704101978</v>
      </c>
      <c r="G219" s="151">
        <v>140.0183704101978</v>
      </c>
      <c r="H219" s="151">
        <v>280.03674082039561</v>
      </c>
    </row>
    <row r="220" spans="1:8" outlineLevel="2" x14ac:dyDescent="0.25">
      <c r="A220" t="s">
        <v>61</v>
      </c>
      <c r="B220" t="s">
        <v>939</v>
      </c>
      <c r="C220" t="s">
        <v>802</v>
      </c>
      <c r="D220" s="66">
        <v>30</v>
      </c>
      <c r="E220" s="11">
        <v>65</v>
      </c>
      <c r="F220" s="151">
        <v>0</v>
      </c>
      <c r="G220" s="151">
        <v>2.1842865783990861</v>
      </c>
      <c r="H220" s="151">
        <v>2.1842865783990861</v>
      </c>
    </row>
    <row r="221" spans="1:8" outlineLevel="2" x14ac:dyDescent="0.25">
      <c r="A221" t="s">
        <v>61</v>
      </c>
      <c r="B221" t="s">
        <v>939</v>
      </c>
      <c r="C221" t="s">
        <v>803</v>
      </c>
      <c r="D221" s="66">
        <v>1898</v>
      </c>
      <c r="E221" s="11">
        <v>13</v>
      </c>
      <c r="F221" s="151">
        <v>0</v>
      </c>
      <c r="G221" s="151">
        <v>27.638506172009766</v>
      </c>
      <c r="H221" s="151">
        <v>27.638506172009766</v>
      </c>
    </row>
    <row r="222" spans="1:8" outlineLevel="2" x14ac:dyDescent="0.25">
      <c r="A222" t="s">
        <v>61</v>
      </c>
      <c r="B222" t="s">
        <v>939</v>
      </c>
      <c r="C222" t="s">
        <v>804</v>
      </c>
      <c r="D222" s="66">
        <v>1454</v>
      </c>
      <c r="E222" s="11">
        <v>2.2000000000000002</v>
      </c>
      <c r="F222" s="151">
        <v>1.7915630530725632</v>
      </c>
      <c r="G222" s="151">
        <v>1.7915630530725632</v>
      </c>
      <c r="H222" s="151">
        <v>3.5831261061451265</v>
      </c>
    </row>
    <row r="223" spans="1:8" outlineLevel="2" x14ac:dyDescent="0.25">
      <c r="A223" t="s">
        <v>61</v>
      </c>
      <c r="B223" t="s">
        <v>939</v>
      </c>
      <c r="C223" t="s">
        <v>805</v>
      </c>
      <c r="D223" s="66">
        <v>15</v>
      </c>
      <c r="E223" s="11">
        <v>3</v>
      </c>
      <c r="F223" s="151">
        <v>0</v>
      </c>
      <c r="G223" s="151">
        <v>5.0406613347671214E-2</v>
      </c>
      <c r="H223" s="151">
        <v>5.0406613347671214E-2</v>
      </c>
    </row>
    <row r="224" spans="1:8" outlineLevel="2" x14ac:dyDescent="0.25">
      <c r="A224" t="s">
        <v>61</v>
      </c>
      <c r="B224" t="s">
        <v>939</v>
      </c>
      <c r="C224" t="s">
        <v>806</v>
      </c>
      <c r="D224" s="66">
        <v>3000</v>
      </c>
      <c r="E224" s="11">
        <v>0.08</v>
      </c>
      <c r="F224" s="151">
        <v>0</v>
      </c>
      <c r="G224" s="151">
        <v>0.26883527118757983</v>
      </c>
      <c r="H224" s="151">
        <v>0.26883527118757983</v>
      </c>
    </row>
    <row r="225" spans="1:8" outlineLevel="2" x14ac:dyDescent="0.25">
      <c r="A225" t="s">
        <v>61</v>
      </c>
      <c r="B225" t="s">
        <v>810</v>
      </c>
      <c r="C225" t="s">
        <v>801</v>
      </c>
      <c r="D225" s="66">
        <v>0</v>
      </c>
      <c r="E225" s="11">
        <v>10</v>
      </c>
      <c r="F225" s="151">
        <v>0</v>
      </c>
      <c r="G225" s="151">
        <v>0</v>
      </c>
      <c r="H225" s="151">
        <v>0</v>
      </c>
    </row>
    <row r="226" spans="1:8" outlineLevel="2" x14ac:dyDescent="0.25">
      <c r="A226" t="s">
        <v>61</v>
      </c>
      <c r="B226" t="s">
        <v>810</v>
      </c>
      <c r="C226" t="s">
        <v>802</v>
      </c>
      <c r="D226" s="66">
        <v>0</v>
      </c>
      <c r="E226" s="11">
        <v>65</v>
      </c>
      <c r="F226" s="151">
        <v>0</v>
      </c>
      <c r="G226" s="151">
        <v>0</v>
      </c>
      <c r="H226" s="151">
        <v>0</v>
      </c>
    </row>
    <row r="227" spans="1:8" outlineLevel="2" x14ac:dyDescent="0.25">
      <c r="A227" t="s">
        <v>61</v>
      </c>
      <c r="B227" t="s">
        <v>810</v>
      </c>
      <c r="C227" t="s">
        <v>803</v>
      </c>
      <c r="D227" s="66">
        <v>0</v>
      </c>
      <c r="E227" s="11">
        <v>13</v>
      </c>
      <c r="F227" s="151">
        <v>0</v>
      </c>
      <c r="G227" s="151">
        <v>0</v>
      </c>
      <c r="H227" s="151">
        <v>0</v>
      </c>
    </row>
    <row r="228" spans="1:8" outlineLevel="2" x14ac:dyDescent="0.25">
      <c r="A228" t="s">
        <v>61</v>
      </c>
      <c r="B228" t="s">
        <v>810</v>
      </c>
      <c r="C228" t="s">
        <v>804</v>
      </c>
      <c r="D228" s="66">
        <v>0</v>
      </c>
      <c r="E228" s="11">
        <v>2.2000000000000002</v>
      </c>
      <c r="F228" s="151">
        <v>0</v>
      </c>
      <c r="G228" s="151">
        <v>0</v>
      </c>
      <c r="H228" s="151">
        <v>0</v>
      </c>
    </row>
    <row r="229" spans="1:8" outlineLevel="2" x14ac:dyDescent="0.25">
      <c r="A229" t="s">
        <v>61</v>
      </c>
      <c r="B229" t="s">
        <v>810</v>
      </c>
      <c r="C229" t="s">
        <v>805</v>
      </c>
      <c r="D229" s="66">
        <v>0</v>
      </c>
      <c r="E229" s="11">
        <v>3</v>
      </c>
      <c r="F229" s="151">
        <v>0</v>
      </c>
      <c r="G229" s="151">
        <v>0</v>
      </c>
      <c r="H229" s="151">
        <v>0</v>
      </c>
    </row>
    <row r="230" spans="1:8" outlineLevel="2" x14ac:dyDescent="0.25">
      <c r="A230" t="s">
        <v>61</v>
      </c>
      <c r="B230" t="s">
        <v>810</v>
      </c>
      <c r="C230" t="s">
        <v>806</v>
      </c>
      <c r="D230" s="66">
        <v>0</v>
      </c>
      <c r="E230" s="11">
        <v>0.08</v>
      </c>
      <c r="F230" s="151">
        <v>0</v>
      </c>
      <c r="G230" s="151">
        <v>0</v>
      </c>
      <c r="H230" s="151">
        <v>0</v>
      </c>
    </row>
    <row r="231" spans="1:8" outlineLevel="2" x14ac:dyDescent="0.25">
      <c r="A231" t="s">
        <v>61</v>
      </c>
      <c r="B231" t="s">
        <v>811</v>
      </c>
      <c r="C231" t="s">
        <v>801</v>
      </c>
      <c r="D231" s="66">
        <v>0</v>
      </c>
      <c r="E231" s="11">
        <v>10</v>
      </c>
      <c r="F231" s="151">
        <v>0</v>
      </c>
      <c r="G231" s="151">
        <v>0</v>
      </c>
      <c r="H231" s="151">
        <v>0</v>
      </c>
    </row>
    <row r="232" spans="1:8" outlineLevel="2" x14ac:dyDescent="0.25">
      <c r="A232" t="s">
        <v>61</v>
      </c>
      <c r="B232" t="s">
        <v>811</v>
      </c>
      <c r="C232" t="s">
        <v>802</v>
      </c>
      <c r="D232" s="66">
        <v>0</v>
      </c>
      <c r="E232" s="11">
        <v>65</v>
      </c>
      <c r="F232" s="151">
        <v>0</v>
      </c>
      <c r="G232" s="151">
        <v>0</v>
      </c>
      <c r="H232" s="151">
        <v>0</v>
      </c>
    </row>
    <row r="233" spans="1:8" outlineLevel="2" x14ac:dyDescent="0.25">
      <c r="A233" t="s">
        <v>61</v>
      </c>
      <c r="B233" t="s">
        <v>811</v>
      </c>
      <c r="C233" t="s">
        <v>803</v>
      </c>
      <c r="D233" s="66">
        <v>0</v>
      </c>
      <c r="E233" s="11">
        <v>13</v>
      </c>
      <c r="F233" s="151">
        <v>0</v>
      </c>
      <c r="G233" s="151">
        <v>0</v>
      </c>
      <c r="H233" s="151">
        <v>0</v>
      </c>
    </row>
    <row r="234" spans="1:8" outlineLevel="2" x14ac:dyDescent="0.25">
      <c r="A234" t="s">
        <v>61</v>
      </c>
      <c r="B234" t="s">
        <v>811</v>
      </c>
      <c r="C234" t="s">
        <v>804</v>
      </c>
      <c r="D234" s="66">
        <v>0</v>
      </c>
      <c r="E234" s="11">
        <v>2.2000000000000002</v>
      </c>
      <c r="F234" s="151">
        <v>0</v>
      </c>
      <c r="G234" s="151">
        <v>0</v>
      </c>
      <c r="H234" s="151">
        <v>0</v>
      </c>
    </row>
    <row r="235" spans="1:8" outlineLevel="2" x14ac:dyDescent="0.25">
      <c r="A235" t="s">
        <v>61</v>
      </c>
      <c r="B235" t="s">
        <v>811</v>
      </c>
      <c r="C235" t="s">
        <v>805</v>
      </c>
      <c r="D235" s="66">
        <v>0</v>
      </c>
      <c r="E235" s="11">
        <v>3</v>
      </c>
      <c r="F235" s="151">
        <v>0</v>
      </c>
      <c r="G235" s="151">
        <v>0</v>
      </c>
      <c r="H235" s="151">
        <v>0</v>
      </c>
    </row>
    <row r="236" spans="1:8" outlineLevel="2" x14ac:dyDescent="0.25">
      <c r="A236" t="s">
        <v>61</v>
      </c>
      <c r="B236" t="s">
        <v>811</v>
      </c>
      <c r="C236" t="s">
        <v>806</v>
      </c>
      <c r="D236" s="66">
        <v>0</v>
      </c>
      <c r="E236" s="11">
        <v>0.08</v>
      </c>
      <c r="F236" s="151">
        <v>0</v>
      </c>
      <c r="G236" s="151">
        <v>0</v>
      </c>
      <c r="H236" s="151">
        <v>0</v>
      </c>
    </row>
    <row r="237" spans="1:8" outlineLevel="1" x14ac:dyDescent="0.25">
      <c r="A237" s="1" t="s">
        <v>959</v>
      </c>
      <c r="F237" s="151">
        <f>SUBTOTAL(9,F219:F236)</f>
        <v>141.80993346327037</v>
      </c>
      <c r="G237" s="151">
        <f>SUBTOTAL(9,G219:G236)</f>
        <v>171.95196809821445</v>
      </c>
      <c r="H237" s="151">
        <f>SUBTOTAL(9,H219:H236)</f>
        <v>313.76190156148488</v>
      </c>
    </row>
    <row r="238" spans="1:8" outlineLevel="2" x14ac:dyDescent="0.25">
      <c r="A238" t="s">
        <v>62</v>
      </c>
      <c r="B238" t="s">
        <v>810</v>
      </c>
      <c r="C238" t="s">
        <v>801</v>
      </c>
      <c r="D238" s="66">
        <v>8250</v>
      </c>
      <c r="E238" s="11">
        <v>10</v>
      </c>
      <c r="F238" s="151">
        <v>46.20606223536528</v>
      </c>
      <c r="G238" s="151">
        <v>46.20606223536528</v>
      </c>
      <c r="H238" s="151">
        <v>92.412124470730561</v>
      </c>
    </row>
    <row r="239" spans="1:8" outlineLevel="2" x14ac:dyDescent="0.25">
      <c r="A239" t="s">
        <v>62</v>
      </c>
      <c r="B239" t="s">
        <v>810</v>
      </c>
      <c r="C239" t="s">
        <v>802</v>
      </c>
      <c r="D239" s="66">
        <v>9</v>
      </c>
      <c r="E239" s="11">
        <v>65</v>
      </c>
      <c r="F239" s="151">
        <v>5.242287788157806E-2</v>
      </c>
      <c r="G239" s="151">
        <v>0.60286309563814766</v>
      </c>
      <c r="H239" s="151">
        <v>0.65528597351972573</v>
      </c>
    </row>
    <row r="240" spans="1:8" outlineLevel="2" x14ac:dyDescent="0.25">
      <c r="A240" t="s">
        <v>62</v>
      </c>
      <c r="B240" t="s">
        <v>810</v>
      </c>
      <c r="C240" t="s">
        <v>803</v>
      </c>
      <c r="D240" s="66">
        <v>750</v>
      </c>
      <c r="E240" s="11">
        <v>13</v>
      </c>
      <c r="F240" s="151">
        <v>0</v>
      </c>
      <c r="G240" s="151">
        <v>10.92143289199543</v>
      </c>
      <c r="H240" s="151">
        <v>10.92143289199543</v>
      </c>
    </row>
    <row r="241" spans="1:8" outlineLevel="2" x14ac:dyDescent="0.25">
      <c r="A241" t="s">
        <v>62</v>
      </c>
      <c r="B241" t="s">
        <v>810</v>
      </c>
      <c r="C241" t="s">
        <v>804</v>
      </c>
      <c r="D241" s="66">
        <v>200</v>
      </c>
      <c r="E241" s="11">
        <v>2.2000000000000002</v>
      </c>
      <c r="F241" s="151">
        <v>3.9429173107511713E-2</v>
      </c>
      <c r="G241" s="151">
        <v>0.45343549073638467</v>
      </c>
      <c r="H241" s="151">
        <v>0.49286466384389638</v>
      </c>
    </row>
    <row r="242" spans="1:8" outlineLevel="2" x14ac:dyDescent="0.25">
      <c r="A242" t="s">
        <v>62</v>
      </c>
      <c r="B242" t="s">
        <v>810</v>
      </c>
      <c r="C242" t="s">
        <v>805</v>
      </c>
      <c r="D242" s="66">
        <v>30</v>
      </c>
      <c r="E242" s="11">
        <v>3</v>
      </c>
      <c r="F242" s="151">
        <v>0</v>
      </c>
      <c r="G242" s="151">
        <v>0.10081322669534243</v>
      </c>
      <c r="H242" s="151">
        <v>0.10081322669534243</v>
      </c>
    </row>
    <row r="243" spans="1:8" outlineLevel="2" x14ac:dyDescent="0.25">
      <c r="A243" t="s">
        <v>62</v>
      </c>
      <c r="B243" t="s">
        <v>810</v>
      </c>
      <c r="C243" t="s">
        <v>806</v>
      </c>
      <c r="D243" s="66">
        <v>905.5</v>
      </c>
      <c r="E243" s="11">
        <v>0.08</v>
      </c>
      <c r="F243" s="151">
        <v>6.4914756816094269E-3</v>
      </c>
      <c r="G243" s="151">
        <v>7.4651970338508414E-2</v>
      </c>
      <c r="H243" s="151">
        <v>8.1143446020117832E-2</v>
      </c>
    </row>
    <row r="244" spans="1:8" outlineLevel="2" x14ac:dyDescent="0.25">
      <c r="A244" t="s">
        <v>62</v>
      </c>
      <c r="B244" t="s">
        <v>811</v>
      </c>
      <c r="C244" t="s">
        <v>801</v>
      </c>
      <c r="D244" s="66">
        <v>8250</v>
      </c>
      <c r="E244" s="11">
        <v>10</v>
      </c>
      <c r="F244" s="151">
        <v>46.20606223536528</v>
      </c>
      <c r="G244" s="151">
        <v>46.20606223536528</v>
      </c>
      <c r="H244" s="151">
        <v>92.412124470730561</v>
      </c>
    </row>
    <row r="245" spans="1:8" outlineLevel="2" x14ac:dyDescent="0.25">
      <c r="A245" t="s">
        <v>62</v>
      </c>
      <c r="B245" t="s">
        <v>811</v>
      </c>
      <c r="C245" t="s">
        <v>802</v>
      </c>
      <c r="D245" s="66">
        <v>9</v>
      </c>
      <c r="E245" s="11">
        <v>65</v>
      </c>
      <c r="F245" s="151">
        <v>0</v>
      </c>
      <c r="G245" s="151">
        <v>0.65528597351972573</v>
      </c>
      <c r="H245" s="151">
        <v>0.65528597351972573</v>
      </c>
    </row>
    <row r="246" spans="1:8" outlineLevel="2" x14ac:dyDescent="0.25">
      <c r="A246" t="s">
        <v>62</v>
      </c>
      <c r="B246" t="s">
        <v>811</v>
      </c>
      <c r="C246" t="s">
        <v>803</v>
      </c>
      <c r="D246" s="66">
        <v>750</v>
      </c>
      <c r="E246" s="11">
        <v>13</v>
      </c>
      <c r="F246" s="151">
        <v>0</v>
      </c>
      <c r="G246" s="151">
        <v>10.92143289199543</v>
      </c>
      <c r="H246" s="151">
        <v>10.92143289199543</v>
      </c>
    </row>
    <row r="247" spans="1:8" outlineLevel="2" x14ac:dyDescent="0.25">
      <c r="A247" t="s">
        <v>62</v>
      </c>
      <c r="B247" t="s">
        <v>811</v>
      </c>
      <c r="C247" t="s">
        <v>804</v>
      </c>
      <c r="D247" s="66">
        <v>200</v>
      </c>
      <c r="E247" s="11">
        <v>2.2000000000000002</v>
      </c>
      <c r="F247" s="151">
        <v>0.24643233192194819</v>
      </c>
      <c r="G247" s="151">
        <v>0.24643233192194819</v>
      </c>
      <c r="H247" s="151">
        <v>0.49286466384389638</v>
      </c>
    </row>
    <row r="248" spans="1:8" outlineLevel="2" x14ac:dyDescent="0.25">
      <c r="A248" t="s">
        <v>62</v>
      </c>
      <c r="B248" t="s">
        <v>811</v>
      </c>
      <c r="C248" t="s">
        <v>805</v>
      </c>
      <c r="D248" s="66">
        <v>30</v>
      </c>
      <c r="E248" s="11">
        <v>3</v>
      </c>
      <c r="F248" s="151">
        <v>0</v>
      </c>
      <c r="G248" s="151">
        <v>0.10081322669534243</v>
      </c>
      <c r="H248" s="151">
        <v>0.10081322669534243</v>
      </c>
    </row>
    <row r="249" spans="1:8" outlineLevel="2" x14ac:dyDescent="0.25">
      <c r="A249" t="s">
        <v>62</v>
      </c>
      <c r="B249" t="s">
        <v>811</v>
      </c>
      <c r="C249" t="s">
        <v>806</v>
      </c>
      <c r="D249" s="66">
        <v>905.5</v>
      </c>
      <c r="E249" s="11">
        <v>0.08</v>
      </c>
      <c r="F249" s="151">
        <v>0</v>
      </c>
      <c r="G249" s="151">
        <v>8.1143446020117832E-2</v>
      </c>
      <c r="H249" s="151">
        <v>8.1143446020117832E-2</v>
      </c>
    </row>
    <row r="250" spans="1:8" outlineLevel="1" x14ac:dyDescent="0.25">
      <c r="A250" s="1" t="s">
        <v>960</v>
      </c>
      <c r="F250" s="151">
        <f>SUBTOTAL(9,F238:F249)</f>
        <v>92.756900329323216</v>
      </c>
      <c r="G250" s="151">
        <f>SUBTOTAL(9,G238:G249)</f>
        <v>116.57042901628694</v>
      </c>
      <c r="H250" s="151">
        <f>SUBTOTAL(9,H238:H249)</f>
        <v>209.3273293456102</v>
      </c>
    </row>
    <row r="251" spans="1:8" outlineLevel="2" x14ac:dyDescent="0.25">
      <c r="A251" t="s">
        <v>63</v>
      </c>
      <c r="B251" t="s">
        <v>939</v>
      </c>
      <c r="C251" t="s">
        <v>801</v>
      </c>
      <c r="D251" s="66">
        <v>34645.799999999996</v>
      </c>
      <c r="E251" s="11">
        <v>10</v>
      </c>
      <c r="F251" s="151">
        <v>38.808387660461051</v>
      </c>
      <c r="G251" s="151">
        <v>349.2754889441494</v>
      </c>
      <c r="H251" s="151">
        <v>388.08387660461045</v>
      </c>
    </row>
    <row r="252" spans="1:8" outlineLevel="2" x14ac:dyDescent="0.25">
      <c r="A252" t="s">
        <v>63</v>
      </c>
      <c r="B252" t="s">
        <v>939</v>
      </c>
      <c r="C252" t="s">
        <v>802</v>
      </c>
      <c r="D252" s="66">
        <v>0</v>
      </c>
      <c r="E252" s="11">
        <v>65</v>
      </c>
      <c r="F252" s="151">
        <v>0</v>
      </c>
      <c r="G252" s="151">
        <v>0</v>
      </c>
      <c r="H252" s="151">
        <v>0</v>
      </c>
    </row>
    <row r="253" spans="1:8" outlineLevel="2" x14ac:dyDescent="0.25">
      <c r="A253" t="s">
        <v>63</v>
      </c>
      <c r="B253" t="s">
        <v>939</v>
      </c>
      <c r="C253" t="s">
        <v>803</v>
      </c>
      <c r="D253" s="66">
        <v>533.4</v>
      </c>
      <c r="E253" s="11">
        <v>13</v>
      </c>
      <c r="F253" s="151">
        <v>0</v>
      </c>
      <c r="G253" s="151">
        <v>7.767323072787149</v>
      </c>
      <c r="H253" s="151">
        <v>7.767323072787149</v>
      </c>
    </row>
    <row r="254" spans="1:8" outlineLevel="2" x14ac:dyDescent="0.25">
      <c r="A254" t="s">
        <v>63</v>
      </c>
      <c r="B254" t="s">
        <v>939</v>
      </c>
      <c r="C254" t="s">
        <v>804</v>
      </c>
      <c r="D254" s="66">
        <v>840</v>
      </c>
      <c r="E254" s="11">
        <v>2.2000000000000002</v>
      </c>
      <c r="F254" s="151">
        <v>0.20700315881443651</v>
      </c>
      <c r="G254" s="151">
        <v>1.8630284293299284</v>
      </c>
      <c r="H254" s="151">
        <v>2.0700315881443649</v>
      </c>
    </row>
    <row r="255" spans="1:8" outlineLevel="2" x14ac:dyDescent="0.25">
      <c r="A255" t="s">
        <v>63</v>
      </c>
      <c r="B255" t="s">
        <v>939</v>
      </c>
      <c r="C255" t="s">
        <v>805</v>
      </c>
      <c r="D255" s="66">
        <v>5.88</v>
      </c>
      <c r="E255" s="11">
        <v>3</v>
      </c>
      <c r="F255" s="151">
        <v>0</v>
      </c>
      <c r="G255" s="151">
        <v>1.9759392432287116E-2</v>
      </c>
      <c r="H255" s="151">
        <v>1.9759392432287116E-2</v>
      </c>
    </row>
    <row r="256" spans="1:8" outlineLevel="2" x14ac:dyDescent="0.25">
      <c r="A256" t="s">
        <v>63</v>
      </c>
      <c r="B256" t="s">
        <v>939</v>
      </c>
      <c r="C256" t="s">
        <v>806</v>
      </c>
      <c r="D256" s="66">
        <v>1066.213869045285</v>
      </c>
      <c r="E256" s="11">
        <v>0.08</v>
      </c>
      <c r="F256" s="151">
        <v>0</v>
      </c>
      <c r="G256" s="151">
        <v>9.5545298209582644E-2</v>
      </c>
      <c r="H256" s="151">
        <v>9.5545298209582644E-2</v>
      </c>
    </row>
    <row r="257" spans="1:8" outlineLevel="2" x14ac:dyDescent="0.25">
      <c r="A257" t="s">
        <v>63</v>
      </c>
      <c r="B257" t="s">
        <v>810</v>
      </c>
      <c r="C257" t="s">
        <v>801</v>
      </c>
      <c r="D257" s="66">
        <v>6599.2</v>
      </c>
      <c r="E257" s="11">
        <v>10</v>
      </c>
      <c r="F257" s="151">
        <v>7.3920738400878196</v>
      </c>
      <c r="G257" s="151">
        <v>66.528664560790375</v>
      </c>
      <c r="H257" s="151">
        <v>73.920738400878193</v>
      </c>
    </row>
    <row r="258" spans="1:8" outlineLevel="2" x14ac:dyDescent="0.25">
      <c r="A258" t="s">
        <v>63</v>
      </c>
      <c r="B258" t="s">
        <v>810</v>
      </c>
      <c r="C258" t="s">
        <v>802</v>
      </c>
      <c r="D258" s="66">
        <v>0</v>
      </c>
      <c r="E258" s="11">
        <v>65</v>
      </c>
      <c r="F258" s="151">
        <v>0</v>
      </c>
      <c r="G258" s="151">
        <v>0</v>
      </c>
      <c r="H258" s="151">
        <v>0</v>
      </c>
    </row>
    <row r="259" spans="1:8" outlineLevel="2" x14ac:dyDescent="0.25">
      <c r="A259" t="s">
        <v>63</v>
      </c>
      <c r="B259" t="s">
        <v>810</v>
      </c>
      <c r="C259" t="s">
        <v>803</v>
      </c>
      <c r="D259" s="66">
        <v>101.60000000000001</v>
      </c>
      <c r="E259" s="11">
        <v>13</v>
      </c>
      <c r="F259" s="151">
        <v>0</v>
      </c>
      <c r="G259" s="151">
        <v>1.4794901091023145</v>
      </c>
      <c r="H259" s="151">
        <v>1.4794901091023145</v>
      </c>
    </row>
    <row r="260" spans="1:8" outlineLevel="2" x14ac:dyDescent="0.25">
      <c r="A260" t="s">
        <v>63</v>
      </c>
      <c r="B260" t="s">
        <v>810</v>
      </c>
      <c r="C260" t="s">
        <v>804</v>
      </c>
      <c r="D260" s="66">
        <v>160</v>
      </c>
      <c r="E260" s="11">
        <v>2.2000000000000002</v>
      </c>
      <c r="F260" s="151">
        <v>3.1543338486009362E-2</v>
      </c>
      <c r="G260" s="151">
        <v>0.36274839258910768</v>
      </c>
      <c r="H260" s="151">
        <v>0.39429173107511706</v>
      </c>
    </row>
    <row r="261" spans="1:8" outlineLevel="2" x14ac:dyDescent="0.25">
      <c r="A261" t="s">
        <v>63</v>
      </c>
      <c r="B261" t="s">
        <v>810</v>
      </c>
      <c r="C261" t="s">
        <v>805</v>
      </c>
      <c r="D261" s="66">
        <v>1.1200000000000001</v>
      </c>
      <c r="E261" s="11">
        <v>3</v>
      </c>
      <c r="F261" s="151">
        <v>0</v>
      </c>
      <c r="G261" s="151">
        <v>3.7636937966261177E-3</v>
      </c>
      <c r="H261" s="151">
        <v>3.7636937966261177E-3</v>
      </c>
    </row>
    <row r="262" spans="1:8" outlineLevel="2" x14ac:dyDescent="0.25">
      <c r="A262" t="s">
        <v>63</v>
      </c>
      <c r="B262" t="s">
        <v>810</v>
      </c>
      <c r="C262" t="s">
        <v>806</v>
      </c>
      <c r="D262" s="66">
        <v>203.08835600862574</v>
      </c>
      <c r="E262" s="11">
        <v>0.08</v>
      </c>
      <c r="F262" s="151">
        <v>0</v>
      </c>
      <c r="G262" s="151">
        <v>1.8199104420872886E-2</v>
      </c>
      <c r="H262" s="151">
        <v>1.8199104420872886E-2</v>
      </c>
    </row>
    <row r="263" spans="1:8" outlineLevel="1" x14ac:dyDescent="0.25">
      <c r="A263" s="1" t="s">
        <v>961</v>
      </c>
      <c r="F263" s="151">
        <f>SUBTOTAL(9,F251:F262)</f>
        <v>46.439007997849316</v>
      </c>
      <c r="G263" s="151">
        <f>SUBTOTAL(9,G251:G262)</f>
        <v>427.41401099760753</v>
      </c>
      <c r="H263" s="151">
        <f>SUBTOTAL(9,H251:H262)</f>
        <v>473.85301899545686</v>
      </c>
    </row>
    <row r="264" spans="1:8" outlineLevel="2" x14ac:dyDescent="0.25">
      <c r="A264" t="s">
        <v>64</v>
      </c>
      <c r="B264" t="s">
        <v>811</v>
      </c>
      <c r="C264" t="s">
        <v>801</v>
      </c>
      <c r="D264" s="66">
        <v>18699.099999999999</v>
      </c>
      <c r="E264" s="11">
        <v>10</v>
      </c>
      <c r="F264" s="151">
        <v>104.7287004054932</v>
      </c>
      <c r="G264" s="151">
        <v>104.7287004054932</v>
      </c>
      <c r="H264" s="151">
        <v>209.4574008109864</v>
      </c>
    </row>
    <row r="265" spans="1:8" outlineLevel="2" x14ac:dyDescent="0.25">
      <c r="A265" t="s">
        <v>64</v>
      </c>
      <c r="B265" t="s">
        <v>811</v>
      </c>
      <c r="C265" t="s">
        <v>802</v>
      </c>
      <c r="D265" s="66">
        <v>104.3</v>
      </c>
      <c r="E265" s="11">
        <v>65</v>
      </c>
      <c r="F265" s="151">
        <v>0</v>
      </c>
      <c r="G265" s="151">
        <v>7.5940363375674886</v>
      </c>
      <c r="H265" s="151">
        <v>7.5940363375674886</v>
      </c>
    </row>
    <row r="266" spans="1:8" outlineLevel="2" x14ac:dyDescent="0.25">
      <c r="A266" t="s">
        <v>64</v>
      </c>
      <c r="B266" t="s">
        <v>811</v>
      </c>
      <c r="C266" t="s">
        <v>803</v>
      </c>
      <c r="D266" s="66">
        <v>626.5</v>
      </c>
      <c r="E266" s="11">
        <v>13</v>
      </c>
      <c r="F266" s="151">
        <v>0</v>
      </c>
      <c r="G266" s="151">
        <v>9.1230369424468485</v>
      </c>
      <c r="H266" s="151">
        <v>9.1230369424468485</v>
      </c>
    </row>
    <row r="267" spans="1:8" outlineLevel="2" x14ac:dyDescent="0.25">
      <c r="A267" t="s">
        <v>64</v>
      </c>
      <c r="B267" t="s">
        <v>811</v>
      </c>
      <c r="C267" t="s">
        <v>804</v>
      </c>
      <c r="D267" s="66">
        <v>4922.3999999999996</v>
      </c>
      <c r="E267" s="11">
        <v>2.2000000000000002</v>
      </c>
      <c r="F267" s="151">
        <v>6.065192553262988</v>
      </c>
      <c r="G267" s="151">
        <v>6.065192553262988</v>
      </c>
      <c r="H267" s="151">
        <v>12.130385106525976</v>
      </c>
    </row>
    <row r="268" spans="1:8" outlineLevel="2" x14ac:dyDescent="0.25">
      <c r="A268" t="s">
        <v>64</v>
      </c>
      <c r="B268" t="s">
        <v>811</v>
      </c>
      <c r="C268" t="s">
        <v>805</v>
      </c>
      <c r="D268" s="66">
        <v>22.4</v>
      </c>
      <c r="E268" s="11">
        <v>3</v>
      </c>
      <c r="F268" s="151">
        <v>0</v>
      </c>
      <c r="G268" s="151">
        <v>7.5273875932522327E-2</v>
      </c>
      <c r="H268" s="151">
        <v>7.5273875932522327E-2</v>
      </c>
    </row>
    <row r="269" spans="1:8" outlineLevel="2" x14ac:dyDescent="0.25">
      <c r="A269" t="s">
        <v>64</v>
      </c>
      <c r="B269" t="s">
        <v>811</v>
      </c>
      <c r="C269" t="s">
        <v>806</v>
      </c>
      <c r="D269" s="66">
        <v>4824.3999999999996</v>
      </c>
      <c r="E269" s="11">
        <v>0.08</v>
      </c>
      <c r="F269" s="151">
        <v>0</v>
      </c>
      <c r="G269" s="151">
        <v>0.43232296077245336</v>
      </c>
      <c r="H269" s="151">
        <v>0.43232296077245336</v>
      </c>
    </row>
    <row r="270" spans="1:8" outlineLevel="2" x14ac:dyDescent="0.25">
      <c r="A270" t="s">
        <v>64</v>
      </c>
      <c r="B270" t="s">
        <v>813</v>
      </c>
      <c r="C270" t="s">
        <v>801</v>
      </c>
      <c r="D270" s="66">
        <v>8013.9</v>
      </c>
      <c r="E270" s="11">
        <v>10</v>
      </c>
      <c r="F270" s="151">
        <v>44.883728745211371</v>
      </c>
      <c r="G270" s="151">
        <v>44.883728745211371</v>
      </c>
      <c r="H270" s="151">
        <v>89.767457490422743</v>
      </c>
    </row>
    <row r="271" spans="1:8" outlineLevel="2" x14ac:dyDescent="0.25">
      <c r="A271" t="s">
        <v>64</v>
      </c>
      <c r="B271" t="s">
        <v>813</v>
      </c>
      <c r="C271" t="s">
        <v>802</v>
      </c>
      <c r="D271" s="66">
        <v>44.699999999999996</v>
      </c>
      <c r="E271" s="11">
        <v>65</v>
      </c>
      <c r="F271" s="151">
        <v>0</v>
      </c>
      <c r="G271" s="151">
        <v>3.2545870018146377</v>
      </c>
      <c r="H271" s="151">
        <v>3.2545870018146377</v>
      </c>
    </row>
    <row r="272" spans="1:8" outlineLevel="2" x14ac:dyDescent="0.25">
      <c r="A272" t="s">
        <v>64</v>
      </c>
      <c r="B272" t="s">
        <v>813</v>
      </c>
      <c r="C272" t="s">
        <v>803</v>
      </c>
      <c r="D272" s="66">
        <v>268.5</v>
      </c>
      <c r="E272" s="11">
        <v>13</v>
      </c>
      <c r="F272" s="151">
        <v>0</v>
      </c>
      <c r="G272" s="151">
        <v>3.909872975334364</v>
      </c>
      <c r="H272" s="151">
        <v>3.909872975334364</v>
      </c>
    </row>
    <row r="273" spans="1:8" outlineLevel="2" x14ac:dyDescent="0.25">
      <c r="A273" t="s">
        <v>64</v>
      </c>
      <c r="B273" t="s">
        <v>813</v>
      </c>
      <c r="C273" t="s">
        <v>804</v>
      </c>
      <c r="D273" s="66">
        <v>2109.6</v>
      </c>
      <c r="E273" s="11">
        <v>2.2000000000000002</v>
      </c>
      <c r="F273" s="151">
        <v>2.5993682371127091</v>
      </c>
      <c r="G273" s="151">
        <v>2.5993682371127091</v>
      </c>
      <c r="H273" s="151">
        <v>5.1987364742254183</v>
      </c>
    </row>
    <row r="274" spans="1:8" outlineLevel="2" x14ac:dyDescent="0.25">
      <c r="A274" t="s">
        <v>64</v>
      </c>
      <c r="B274" t="s">
        <v>813</v>
      </c>
      <c r="C274" t="s">
        <v>805</v>
      </c>
      <c r="D274" s="66">
        <v>9.6</v>
      </c>
      <c r="E274" s="11">
        <v>3</v>
      </c>
      <c r="F274" s="151">
        <v>0</v>
      </c>
      <c r="G274" s="151">
        <v>3.2260232542509572E-2</v>
      </c>
      <c r="H274" s="151">
        <v>3.2260232542509572E-2</v>
      </c>
    </row>
    <row r="275" spans="1:8" outlineLevel="2" x14ac:dyDescent="0.25">
      <c r="A275" t="s">
        <v>64</v>
      </c>
      <c r="B275" t="s">
        <v>813</v>
      </c>
      <c r="C275" t="s">
        <v>806</v>
      </c>
      <c r="D275" s="66">
        <v>2067.6</v>
      </c>
      <c r="E275" s="11">
        <v>0.08</v>
      </c>
      <c r="F275" s="151">
        <v>0</v>
      </c>
      <c r="G275" s="151">
        <v>0.18528126890247998</v>
      </c>
      <c r="H275" s="151">
        <v>0.18528126890247998</v>
      </c>
    </row>
    <row r="276" spans="1:8" outlineLevel="1" x14ac:dyDescent="0.25">
      <c r="A276" s="1" t="s">
        <v>962</v>
      </c>
      <c r="F276" s="151">
        <f>SUBTOTAL(9,F264:F275)</f>
        <v>158.27698994108027</v>
      </c>
      <c r="G276" s="151">
        <f>SUBTOTAL(9,G264:G275)</f>
        <v>182.88366153639356</v>
      </c>
      <c r="H276" s="151">
        <f>SUBTOTAL(9,H264:H275)</f>
        <v>341.16065147747383</v>
      </c>
    </row>
    <row r="277" spans="1:8" outlineLevel="2" x14ac:dyDescent="0.25">
      <c r="A277" t="s">
        <v>65</v>
      </c>
      <c r="B277" t="s">
        <v>810</v>
      </c>
      <c r="C277" t="s">
        <v>801</v>
      </c>
      <c r="D277" s="66">
        <v>2768.73</v>
      </c>
      <c r="E277" s="11">
        <v>10</v>
      </c>
      <c r="F277" s="151">
        <v>3.1013845016466162</v>
      </c>
      <c r="G277" s="151">
        <v>27.912460514819543</v>
      </c>
      <c r="H277" s="151">
        <v>31.01384501646616</v>
      </c>
    </row>
    <row r="278" spans="1:8" outlineLevel="2" x14ac:dyDescent="0.25">
      <c r="A278" t="s">
        <v>65</v>
      </c>
      <c r="B278" t="s">
        <v>810</v>
      </c>
      <c r="C278" t="s">
        <v>802</v>
      </c>
      <c r="D278" s="66">
        <v>1650</v>
      </c>
      <c r="E278" s="11">
        <v>65</v>
      </c>
      <c r="F278" s="151">
        <v>9.6108609449559772</v>
      </c>
      <c r="G278" s="151">
        <v>110.52490086699375</v>
      </c>
      <c r="H278" s="151">
        <v>120.13576181194972</v>
      </c>
    </row>
    <row r="279" spans="1:8" outlineLevel="2" x14ac:dyDescent="0.25">
      <c r="A279" t="s">
        <v>65</v>
      </c>
      <c r="B279" t="s">
        <v>810</v>
      </c>
      <c r="C279" t="s">
        <v>803</v>
      </c>
      <c r="D279" s="66">
        <v>14.309999999999999</v>
      </c>
      <c r="E279" s="11">
        <v>13</v>
      </c>
      <c r="F279" s="151">
        <v>1.6670475166341819E-2</v>
      </c>
      <c r="G279" s="151">
        <v>0.19171046441293094</v>
      </c>
      <c r="H279" s="151">
        <v>0.20838093957927276</v>
      </c>
    </row>
    <row r="280" spans="1:8" outlineLevel="2" x14ac:dyDescent="0.25">
      <c r="A280" t="s">
        <v>65</v>
      </c>
      <c r="B280" t="s">
        <v>810</v>
      </c>
      <c r="C280" t="s">
        <v>804</v>
      </c>
      <c r="D280" s="66">
        <v>31.95</v>
      </c>
      <c r="E280" s="11">
        <v>2.2000000000000002</v>
      </c>
      <c r="F280" s="151">
        <v>6.2988104039249961E-3</v>
      </c>
      <c r="G280" s="151">
        <v>7.2436319645137456E-2</v>
      </c>
      <c r="H280" s="151">
        <v>7.8735130049062449E-2</v>
      </c>
    </row>
    <row r="281" spans="1:8" outlineLevel="2" x14ac:dyDescent="0.25">
      <c r="A281" t="s">
        <v>65</v>
      </c>
      <c r="B281" t="s">
        <v>810</v>
      </c>
      <c r="C281" t="s">
        <v>805</v>
      </c>
      <c r="D281" s="66">
        <v>0.51</v>
      </c>
      <c r="E281" s="11">
        <v>3</v>
      </c>
      <c r="F281" s="151">
        <v>0</v>
      </c>
      <c r="G281" s="151">
        <v>1.7138248538208212E-3</v>
      </c>
      <c r="H281" s="151">
        <v>1.7138248538208212E-3</v>
      </c>
    </row>
    <row r="282" spans="1:8" outlineLevel="2" x14ac:dyDescent="0.25">
      <c r="A282" t="s">
        <v>65</v>
      </c>
      <c r="B282" t="s">
        <v>810</v>
      </c>
      <c r="C282" t="s">
        <v>806</v>
      </c>
      <c r="D282" s="66">
        <v>2030.3162384826505</v>
      </c>
      <c r="E282" s="11">
        <v>0.08</v>
      </c>
      <c r="F282" s="151">
        <v>1.455521644184081E-2</v>
      </c>
      <c r="G282" s="151">
        <v>0.16738498908116933</v>
      </c>
      <c r="H282" s="151">
        <v>0.18194020552301013</v>
      </c>
    </row>
    <row r="283" spans="1:8" outlineLevel="2" x14ac:dyDescent="0.25">
      <c r="A283" t="s">
        <v>65</v>
      </c>
      <c r="B283" t="s">
        <v>812</v>
      </c>
      <c r="C283" t="s">
        <v>801</v>
      </c>
      <c r="D283" s="66">
        <v>89522.27</v>
      </c>
      <c r="E283" s="11">
        <v>10</v>
      </c>
      <c r="F283" s="151">
        <v>100.27809888657393</v>
      </c>
      <c r="G283" s="151">
        <v>902.50288997916527</v>
      </c>
      <c r="H283" s="151">
        <v>1002.7809888657392</v>
      </c>
    </row>
    <row r="284" spans="1:8" outlineLevel="2" x14ac:dyDescent="0.25">
      <c r="A284" t="s">
        <v>65</v>
      </c>
      <c r="B284" t="s">
        <v>812</v>
      </c>
      <c r="C284" t="s">
        <v>802</v>
      </c>
      <c r="D284" s="66">
        <v>53350</v>
      </c>
      <c r="E284" s="11">
        <v>65</v>
      </c>
      <c r="F284" s="151">
        <v>0</v>
      </c>
      <c r="G284" s="151">
        <v>3884.3896319197079</v>
      </c>
      <c r="H284" s="151">
        <v>3884.3896319197079</v>
      </c>
    </row>
    <row r="285" spans="1:8" outlineLevel="2" x14ac:dyDescent="0.25">
      <c r="A285" t="s">
        <v>65</v>
      </c>
      <c r="B285" t="s">
        <v>812</v>
      </c>
      <c r="C285" t="s">
        <v>803</v>
      </c>
      <c r="D285" s="66">
        <v>462.69</v>
      </c>
      <c r="E285" s="11">
        <v>13</v>
      </c>
      <c r="F285" s="151">
        <v>0</v>
      </c>
      <c r="G285" s="151">
        <v>6.7376503797298204</v>
      </c>
      <c r="H285" s="151">
        <v>6.7376503797298204</v>
      </c>
    </row>
    <row r="286" spans="1:8" outlineLevel="2" x14ac:dyDescent="0.25">
      <c r="A286" t="s">
        <v>65</v>
      </c>
      <c r="B286" t="s">
        <v>812</v>
      </c>
      <c r="C286" t="s">
        <v>804</v>
      </c>
      <c r="D286" s="66">
        <v>1033.05</v>
      </c>
      <c r="E286" s="11">
        <v>2.2000000000000002</v>
      </c>
      <c r="F286" s="151">
        <v>0.25457692049196856</v>
      </c>
      <c r="G286" s="151">
        <v>2.2911922844277171</v>
      </c>
      <c r="H286" s="151">
        <v>2.5457692049196856</v>
      </c>
    </row>
    <row r="287" spans="1:8" outlineLevel="2" x14ac:dyDescent="0.25">
      <c r="A287" t="s">
        <v>65</v>
      </c>
      <c r="B287" t="s">
        <v>812</v>
      </c>
      <c r="C287" t="s">
        <v>805</v>
      </c>
      <c r="D287" s="66">
        <v>16.489999999999998</v>
      </c>
      <c r="E287" s="11">
        <v>3</v>
      </c>
      <c r="F287" s="151">
        <v>0</v>
      </c>
      <c r="G287" s="151">
        <v>5.5413670273539883E-2</v>
      </c>
      <c r="H287" s="151">
        <v>5.5413670273539883E-2</v>
      </c>
    </row>
    <row r="288" spans="1:8" outlineLevel="2" x14ac:dyDescent="0.25">
      <c r="A288" t="s">
        <v>65</v>
      </c>
      <c r="B288" t="s">
        <v>812</v>
      </c>
      <c r="C288" t="s">
        <v>806</v>
      </c>
      <c r="D288" s="66">
        <v>65646.891710939031</v>
      </c>
      <c r="E288" s="11">
        <v>0.08</v>
      </c>
      <c r="F288" s="151">
        <v>0</v>
      </c>
      <c r="G288" s="151">
        <v>5.88273331191066</v>
      </c>
      <c r="H288" s="151">
        <v>5.88273331191066</v>
      </c>
    </row>
    <row r="289" spans="1:8" outlineLevel="1" x14ac:dyDescent="0.25">
      <c r="A289" s="1" t="s">
        <v>963</v>
      </c>
      <c r="F289" s="151">
        <f>SUBTOTAL(9,F277:F288)</f>
        <v>113.2824457556806</v>
      </c>
      <c r="G289" s="151">
        <f>SUBTOTAL(9,G277:G288)</f>
        <v>4940.7301185250217</v>
      </c>
      <c r="H289" s="151">
        <f>SUBTOTAL(9,H277:H288)</f>
        <v>5054.0125642807016</v>
      </c>
    </row>
    <row r="290" spans="1:8" outlineLevel="2" x14ac:dyDescent="0.25">
      <c r="A290" t="s">
        <v>67</v>
      </c>
      <c r="B290" t="s">
        <v>813</v>
      </c>
      <c r="C290" t="s">
        <v>801</v>
      </c>
      <c r="D290" s="66">
        <v>9468</v>
      </c>
      <c r="E290" s="11">
        <v>10</v>
      </c>
      <c r="F290" s="151">
        <v>21.211102896700048</v>
      </c>
      <c r="G290" s="151">
        <v>84.844411586800192</v>
      </c>
      <c r="H290" s="151">
        <v>106.05551448350023</v>
      </c>
    </row>
    <row r="291" spans="1:8" outlineLevel="2" x14ac:dyDescent="0.25">
      <c r="A291" t="s">
        <v>67</v>
      </c>
      <c r="B291" t="s">
        <v>813</v>
      </c>
      <c r="C291" t="s">
        <v>802</v>
      </c>
      <c r="D291" s="66">
        <v>5</v>
      </c>
      <c r="E291" s="11">
        <v>65</v>
      </c>
      <c r="F291" s="151">
        <v>0</v>
      </c>
      <c r="G291" s="151">
        <v>0.36404776306651432</v>
      </c>
      <c r="H291" s="151">
        <v>0.36404776306651432</v>
      </c>
    </row>
    <row r="292" spans="1:8" outlineLevel="2" x14ac:dyDescent="0.25">
      <c r="A292" t="s">
        <v>67</v>
      </c>
      <c r="B292" t="s">
        <v>813</v>
      </c>
      <c r="C292" t="s">
        <v>803</v>
      </c>
      <c r="D292" s="66">
        <v>1386</v>
      </c>
      <c r="E292" s="11">
        <v>13</v>
      </c>
      <c r="F292" s="151">
        <v>0</v>
      </c>
      <c r="G292" s="151">
        <v>20.182807984407553</v>
      </c>
      <c r="H292" s="151">
        <v>20.182807984407553</v>
      </c>
    </row>
    <row r="293" spans="1:8" outlineLevel="2" x14ac:dyDescent="0.25">
      <c r="A293" t="s">
        <v>67</v>
      </c>
      <c r="B293" t="s">
        <v>813</v>
      </c>
      <c r="C293" t="s">
        <v>804</v>
      </c>
      <c r="D293" s="66">
        <v>2927</v>
      </c>
      <c r="E293" s="11">
        <v>2.2000000000000002</v>
      </c>
      <c r="F293" s="151">
        <v>1.4426148710710847</v>
      </c>
      <c r="G293" s="151">
        <v>5.7704594842843386</v>
      </c>
      <c r="H293" s="151">
        <v>7.2130743553554231</v>
      </c>
    </row>
    <row r="294" spans="1:8" outlineLevel="2" x14ac:dyDescent="0.25">
      <c r="A294" t="s">
        <v>67</v>
      </c>
      <c r="B294" t="s">
        <v>813</v>
      </c>
      <c r="C294" t="s">
        <v>805</v>
      </c>
      <c r="D294" s="66">
        <v>58</v>
      </c>
      <c r="E294" s="11">
        <v>3</v>
      </c>
      <c r="F294" s="151">
        <v>0</v>
      </c>
      <c r="G294" s="151">
        <v>0.19490557161099537</v>
      </c>
      <c r="H294" s="151">
        <v>0.19490557161099537</v>
      </c>
    </row>
    <row r="295" spans="1:8" outlineLevel="2" x14ac:dyDescent="0.25">
      <c r="A295" t="s">
        <v>67</v>
      </c>
      <c r="B295" t="s">
        <v>813</v>
      </c>
      <c r="C295" t="s">
        <v>806</v>
      </c>
      <c r="D295" s="66">
        <v>6608</v>
      </c>
      <c r="E295" s="11">
        <v>0.08</v>
      </c>
      <c r="F295" s="151">
        <v>0</v>
      </c>
      <c r="G295" s="151">
        <v>0.5921544906691758</v>
      </c>
      <c r="H295" s="151">
        <v>0.5921544906691758</v>
      </c>
    </row>
    <row r="296" spans="1:8" outlineLevel="1" x14ac:dyDescent="0.25">
      <c r="A296" s="1" t="s">
        <v>964</v>
      </c>
      <c r="F296" s="151">
        <f>SUBTOTAL(9,F290:F295)</f>
        <v>22.653717767771134</v>
      </c>
      <c r="G296" s="151">
        <f>SUBTOTAL(9,G290:G295)</f>
        <v>111.94878688083878</v>
      </c>
      <c r="H296" s="151">
        <f>SUBTOTAL(9,H290:H295)</f>
        <v>134.60250464860988</v>
      </c>
    </row>
    <row r="297" spans="1:8" outlineLevel="2" x14ac:dyDescent="0.25">
      <c r="A297" t="s">
        <v>68</v>
      </c>
      <c r="B297" t="s">
        <v>939</v>
      </c>
      <c r="C297" t="s">
        <v>801</v>
      </c>
      <c r="D297" s="66">
        <v>900</v>
      </c>
      <c r="E297" s="11">
        <v>10</v>
      </c>
      <c r="F297" s="151">
        <v>5.0406613347671216</v>
      </c>
      <c r="G297" s="151">
        <v>5.0406613347671216</v>
      </c>
      <c r="H297" s="151">
        <v>10.081322669534243</v>
      </c>
    </row>
    <row r="298" spans="1:8" outlineLevel="2" x14ac:dyDescent="0.25">
      <c r="A298" t="s">
        <v>68</v>
      </c>
      <c r="B298" t="s">
        <v>939</v>
      </c>
      <c r="C298" t="s">
        <v>802</v>
      </c>
      <c r="D298" s="66">
        <v>5.6000000000000005</v>
      </c>
      <c r="E298" s="11">
        <v>65</v>
      </c>
      <c r="F298" s="151">
        <v>0.20386674731724805</v>
      </c>
      <c r="G298" s="151">
        <v>0.20386674731724805</v>
      </c>
      <c r="H298" s="151">
        <v>0.4077334946344961</v>
      </c>
    </row>
    <row r="299" spans="1:8" outlineLevel="2" x14ac:dyDescent="0.25">
      <c r="A299" t="s">
        <v>68</v>
      </c>
      <c r="B299" t="s">
        <v>939</v>
      </c>
      <c r="C299" t="s">
        <v>803</v>
      </c>
      <c r="D299" s="66">
        <v>20</v>
      </c>
      <c r="E299" s="11">
        <v>13</v>
      </c>
      <c r="F299" s="151">
        <v>0</v>
      </c>
      <c r="G299" s="151">
        <v>0.29123821045321147</v>
      </c>
      <c r="H299" s="151">
        <v>0.29123821045321147</v>
      </c>
    </row>
    <row r="300" spans="1:8" outlineLevel="2" x14ac:dyDescent="0.25">
      <c r="A300" t="s">
        <v>68</v>
      </c>
      <c r="B300" t="s">
        <v>939</v>
      </c>
      <c r="C300" t="s">
        <v>804</v>
      </c>
      <c r="D300" s="66">
        <v>254.4</v>
      </c>
      <c r="E300" s="11">
        <v>2.2000000000000002</v>
      </c>
      <c r="F300" s="151">
        <v>0.31346192620471808</v>
      </c>
      <c r="G300" s="151">
        <v>0.31346192620471808</v>
      </c>
      <c r="H300" s="151">
        <v>0.62692385240943616</v>
      </c>
    </row>
    <row r="301" spans="1:8" outlineLevel="2" x14ac:dyDescent="0.25">
      <c r="A301" t="s">
        <v>68</v>
      </c>
      <c r="B301" t="s">
        <v>939</v>
      </c>
      <c r="C301" t="s">
        <v>805</v>
      </c>
      <c r="D301" s="66">
        <v>43.2</v>
      </c>
      <c r="E301" s="11">
        <v>3</v>
      </c>
      <c r="F301" s="151">
        <v>7.2585523220646556E-2</v>
      </c>
      <c r="G301" s="151">
        <v>7.2585523220646556E-2</v>
      </c>
      <c r="H301" s="151">
        <v>0.14517104644129311</v>
      </c>
    </row>
    <row r="302" spans="1:8" outlineLevel="2" x14ac:dyDescent="0.25">
      <c r="A302" t="s">
        <v>68</v>
      </c>
      <c r="B302" t="s">
        <v>939</v>
      </c>
      <c r="C302" t="s">
        <v>806</v>
      </c>
      <c r="D302" s="66">
        <v>1159.6000000000001</v>
      </c>
      <c r="E302" s="11">
        <v>0.08</v>
      </c>
      <c r="F302" s="151">
        <v>0</v>
      </c>
      <c r="G302" s="151">
        <v>0.10391379348970586</v>
      </c>
      <c r="H302" s="151">
        <v>0.10391379348970586</v>
      </c>
    </row>
    <row r="303" spans="1:8" outlineLevel="2" x14ac:dyDescent="0.25">
      <c r="A303" t="s">
        <v>68</v>
      </c>
      <c r="B303" t="s">
        <v>810</v>
      </c>
      <c r="C303" t="s">
        <v>801</v>
      </c>
      <c r="D303" s="66">
        <v>1350</v>
      </c>
      <c r="E303" s="11">
        <v>10</v>
      </c>
      <c r="F303" s="151">
        <v>7.560992002150682</v>
      </c>
      <c r="G303" s="151">
        <v>7.560992002150682</v>
      </c>
      <c r="H303" s="151">
        <v>15.121984004301364</v>
      </c>
    </row>
    <row r="304" spans="1:8" outlineLevel="2" x14ac:dyDescent="0.25">
      <c r="A304" t="s">
        <v>68</v>
      </c>
      <c r="B304" t="s">
        <v>810</v>
      </c>
      <c r="C304" t="s">
        <v>802</v>
      </c>
      <c r="D304" s="66">
        <v>8.4</v>
      </c>
      <c r="E304" s="11">
        <v>65</v>
      </c>
      <c r="F304" s="151">
        <v>0</v>
      </c>
      <c r="G304" s="151">
        <v>0.61160024195174412</v>
      </c>
      <c r="H304" s="151">
        <v>0.61160024195174412</v>
      </c>
    </row>
    <row r="305" spans="1:8" outlineLevel="2" x14ac:dyDescent="0.25">
      <c r="A305" t="s">
        <v>68</v>
      </c>
      <c r="B305" t="s">
        <v>810</v>
      </c>
      <c r="C305" t="s">
        <v>803</v>
      </c>
      <c r="D305" s="66">
        <v>30</v>
      </c>
      <c r="E305" s="11">
        <v>13</v>
      </c>
      <c r="F305" s="151">
        <v>0</v>
      </c>
      <c r="G305" s="151">
        <v>0.43685731567981717</v>
      </c>
      <c r="H305" s="151">
        <v>0.43685731567981717</v>
      </c>
    </row>
    <row r="306" spans="1:8" outlineLevel="2" x14ac:dyDescent="0.25">
      <c r="A306" t="s">
        <v>68</v>
      </c>
      <c r="B306" t="s">
        <v>810</v>
      </c>
      <c r="C306" t="s">
        <v>804</v>
      </c>
      <c r="D306" s="66">
        <v>381.59999999999997</v>
      </c>
      <c r="E306" s="11">
        <v>2.2000000000000002</v>
      </c>
      <c r="F306" s="151">
        <v>0.47019288930707709</v>
      </c>
      <c r="G306" s="151">
        <v>0.47019288930707709</v>
      </c>
      <c r="H306" s="151">
        <v>0.94038577861415418</v>
      </c>
    </row>
    <row r="307" spans="1:8" outlineLevel="2" x14ac:dyDescent="0.25">
      <c r="A307" t="s">
        <v>68</v>
      </c>
      <c r="B307" t="s">
        <v>810</v>
      </c>
      <c r="C307" t="s">
        <v>805</v>
      </c>
      <c r="D307" s="66">
        <v>64.8</v>
      </c>
      <c r="E307" s="11">
        <v>3</v>
      </c>
      <c r="F307" s="151">
        <v>0</v>
      </c>
      <c r="G307" s="151">
        <v>0.21775656966193963</v>
      </c>
      <c r="H307" s="151">
        <v>0.21775656966193963</v>
      </c>
    </row>
    <row r="308" spans="1:8" outlineLevel="2" x14ac:dyDescent="0.25">
      <c r="A308" t="s">
        <v>68</v>
      </c>
      <c r="B308" t="s">
        <v>810</v>
      </c>
      <c r="C308" t="s">
        <v>806</v>
      </c>
      <c r="D308" s="66">
        <v>1739.3999999999999</v>
      </c>
      <c r="E308" s="11">
        <v>0.08</v>
      </c>
      <c r="F308" s="151">
        <v>0</v>
      </c>
      <c r="G308" s="151">
        <v>0.15587069023455877</v>
      </c>
      <c r="H308" s="151">
        <v>0.15587069023455877</v>
      </c>
    </row>
    <row r="309" spans="1:8" outlineLevel="2" x14ac:dyDescent="0.25">
      <c r="A309" t="s">
        <v>68</v>
      </c>
      <c r="B309" t="s">
        <v>811</v>
      </c>
      <c r="C309" t="s">
        <v>801</v>
      </c>
      <c r="D309" s="66">
        <v>0</v>
      </c>
      <c r="E309" s="11">
        <v>10</v>
      </c>
      <c r="F309" s="151">
        <v>0</v>
      </c>
      <c r="G309" s="151">
        <v>0</v>
      </c>
      <c r="H309" s="151">
        <v>0</v>
      </c>
    </row>
    <row r="310" spans="1:8" outlineLevel="2" x14ac:dyDescent="0.25">
      <c r="A310" t="s">
        <v>68</v>
      </c>
      <c r="B310" t="s">
        <v>811</v>
      </c>
      <c r="C310" t="s">
        <v>802</v>
      </c>
      <c r="D310" s="66">
        <v>0</v>
      </c>
      <c r="E310" s="11">
        <v>65</v>
      </c>
      <c r="F310" s="151">
        <v>0</v>
      </c>
      <c r="G310" s="151">
        <v>0</v>
      </c>
      <c r="H310" s="151">
        <v>0</v>
      </c>
    </row>
    <row r="311" spans="1:8" outlineLevel="2" x14ac:dyDescent="0.25">
      <c r="A311" t="s">
        <v>68</v>
      </c>
      <c r="B311" t="s">
        <v>811</v>
      </c>
      <c r="C311" t="s">
        <v>803</v>
      </c>
      <c r="D311" s="66">
        <v>0</v>
      </c>
      <c r="E311" s="11">
        <v>13</v>
      </c>
      <c r="F311" s="151">
        <v>0</v>
      </c>
      <c r="G311" s="151">
        <v>0</v>
      </c>
      <c r="H311" s="151">
        <v>0</v>
      </c>
    </row>
    <row r="312" spans="1:8" outlineLevel="2" x14ac:dyDescent="0.25">
      <c r="A312" t="s">
        <v>68</v>
      </c>
      <c r="B312" t="s">
        <v>811</v>
      </c>
      <c r="C312" t="s">
        <v>804</v>
      </c>
      <c r="D312" s="66">
        <v>0</v>
      </c>
      <c r="E312" s="11">
        <v>2.2000000000000002</v>
      </c>
      <c r="F312" s="151">
        <v>0</v>
      </c>
      <c r="G312" s="151">
        <v>0</v>
      </c>
      <c r="H312" s="151">
        <v>0</v>
      </c>
    </row>
    <row r="313" spans="1:8" outlineLevel="2" x14ac:dyDescent="0.25">
      <c r="A313" t="s">
        <v>68</v>
      </c>
      <c r="B313" t="s">
        <v>811</v>
      </c>
      <c r="C313" t="s">
        <v>805</v>
      </c>
      <c r="D313" s="66">
        <v>0</v>
      </c>
      <c r="E313" s="11">
        <v>3</v>
      </c>
      <c r="F313" s="151">
        <v>0</v>
      </c>
      <c r="G313" s="151">
        <v>0</v>
      </c>
      <c r="H313" s="151">
        <v>0</v>
      </c>
    </row>
    <row r="314" spans="1:8" outlineLevel="2" x14ac:dyDescent="0.25">
      <c r="A314" t="s">
        <v>68</v>
      </c>
      <c r="B314" t="s">
        <v>811</v>
      </c>
      <c r="C314" t="s">
        <v>806</v>
      </c>
      <c r="D314" s="66">
        <v>0</v>
      </c>
      <c r="E314" s="11">
        <v>0.08</v>
      </c>
      <c r="F314" s="151">
        <v>0</v>
      </c>
      <c r="G314" s="151">
        <v>0</v>
      </c>
      <c r="H314" s="151">
        <v>0</v>
      </c>
    </row>
    <row r="315" spans="1:8" outlineLevel="1" x14ac:dyDescent="0.25">
      <c r="A315" s="1" t="s">
        <v>965</v>
      </c>
      <c r="F315" s="151">
        <f>SUBTOTAL(9,F297:F314)</f>
        <v>13.661760422967493</v>
      </c>
      <c r="G315" s="151">
        <f>SUBTOTAL(9,G297:G314)</f>
        <v>15.478997244438471</v>
      </c>
      <c r="H315" s="151">
        <f>SUBTOTAL(9,H297:H314)</f>
        <v>29.140757667405964</v>
      </c>
    </row>
    <row r="316" spans="1:8" outlineLevel="2" x14ac:dyDescent="0.25">
      <c r="A316" t="s">
        <v>66</v>
      </c>
      <c r="B316" t="s">
        <v>811</v>
      </c>
      <c r="C316" t="s">
        <v>801</v>
      </c>
      <c r="D316" s="66">
        <v>6300</v>
      </c>
      <c r="E316" s="11">
        <v>10</v>
      </c>
      <c r="F316" s="151">
        <v>35.284629343369851</v>
      </c>
      <c r="G316" s="151">
        <v>35.284629343369851</v>
      </c>
      <c r="H316" s="151">
        <v>70.569258686739701</v>
      </c>
    </row>
    <row r="317" spans="1:8" outlineLevel="2" x14ac:dyDescent="0.25">
      <c r="A317" t="s">
        <v>66</v>
      </c>
      <c r="B317" t="s">
        <v>811</v>
      </c>
      <c r="C317" t="s">
        <v>802</v>
      </c>
      <c r="D317" s="66">
        <v>0</v>
      </c>
      <c r="E317" s="11">
        <v>65</v>
      </c>
      <c r="F317" s="151">
        <v>0</v>
      </c>
      <c r="G317" s="151">
        <v>0</v>
      </c>
      <c r="H317" s="151">
        <v>0</v>
      </c>
    </row>
    <row r="318" spans="1:8" outlineLevel="2" x14ac:dyDescent="0.25">
      <c r="A318" t="s">
        <v>66</v>
      </c>
      <c r="B318" t="s">
        <v>811</v>
      </c>
      <c r="C318" t="s">
        <v>803</v>
      </c>
      <c r="D318" s="66">
        <v>815.4</v>
      </c>
      <c r="E318" s="11">
        <v>13</v>
      </c>
      <c r="F318" s="151">
        <v>0</v>
      </c>
      <c r="G318" s="151">
        <v>11.873781840177429</v>
      </c>
      <c r="H318" s="151">
        <v>11.873781840177429</v>
      </c>
    </row>
    <row r="319" spans="1:8" outlineLevel="2" x14ac:dyDescent="0.25">
      <c r="A319" t="s">
        <v>66</v>
      </c>
      <c r="B319" t="s">
        <v>811</v>
      </c>
      <c r="C319" t="s">
        <v>804</v>
      </c>
      <c r="D319" s="66">
        <v>900</v>
      </c>
      <c r="E319" s="11">
        <v>2.2000000000000002</v>
      </c>
      <c r="F319" s="151">
        <v>1.1089454936487668</v>
      </c>
      <c r="G319" s="151">
        <v>1.1089454936487668</v>
      </c>
      <c r="H319" s="151">
        <v>2.2178909872975336</v>
      </c>
    </row>
    <row r="320" spans="1:8" outlineLevel="2" x14ac:dyDescent="0.25">
      <c r="A320" t="s">
        <v>66</v>
      </c>
      <c r="B320" t="s">
        <v>811</v>
      </c>
      <c r="C320" t="s">
        <v>805</v>
      </c>
      <c r="D320" s="66">
        <v>0</v>
      </c>
      <c r="E320" s="11">
        <v>3</v>
      </c>
      <c r="F320" s="151">
        <v>0</v>
      </c>
      <c r="G320" s="151">
        <v>0</v>
      </c>
      <c r="H320" s="151">
        <v>0</v>
      </c>
    </row>
    <row r="321" spans="1:8" outlineLevel="2" x14ac:dyDescent="0.25">
      <c r="A321" t="s">
        <v>66</v>
      </c>
      <c r="B321" t="s">
        <v>811</v>
      </c>
      <c r="C321" t="s">
        <v>806</v>
      </c>
      <c r="D321" s="66">
        <v>2485.8000000000002</v>
      </c>
      <c r="E321" s="11">
        <v>0.08</v>
      </c>
      <c r="F321" s="151">
        <v>0</v>
      </c>
      <c r="G321" s="151">
        <v>0.22275690570602866</v>
      </c>
      <c r="H321" s="151">
        <v>0.22275690570602866</v>
      </c>
    </row>
    <row r="322" spans="1:8" outlineLevel="2" x14ac:dyDescent="0.25">
      <c r="A322" t="s">
        <v>66</v>
      </c>
      <c r="B322" t="s">
        <v>813</v>
      </c>
      <c r="C322" t="s">
        <v>801</v>
      </c>
      <c r="D322" s="66">
        <v>700</v>
      </c>
      <c r="E322" s="11">
        <v>10</v>
      </c>
      <c r="F322" s="151">
        <v>3.9205143714855391</v>
      </c>
      <c r="G322" s="151">
        <v>3.9205143714855391</v>
      </c>
      <c r="H322" s="151">
        <v>7.8410287429710781</v>
      </c>
    </row>
    <row r="323" spans="1:8" outlineLevel="2" x14ac:dyDescent="0.25">
      <c r="A323" t="s">
        <v>66</v>
      </c>
      <c r="B323" t="s">
        <v>813</v>
      </c>
      <c r="C323" t="s">
        <v>802</v>
      </c>
      <c r="D323" s="66">
        <v>0</v>
      </c>
      <c r="E323" s="11">
        <v>65</v>
      </c>
      <c r="F323" s="151">
        <v>0</v>
      </c>
      <c r="G323" s="151">
        <v>0</v>
      </c>
      <c r="H323" s="151">
        <v>0</v>
      </c>
    </row>
    <row r="324" spans="1:8" outlineLevel="2" x14ac:dyDescent="0.25">
      <c r="A324" t="s">
        <v>66</v>
      </c>
      <c r="B324" t="s">
        <v>813</v>
      </c>
      <c r="C324" t="s">
        <v>803</v>
      </c>
      <c r="D324" s="66">
        <v>90.600000000000009</v>
      </c>
      <c r="E324" s="11">
        <v>13</v>
      </c>
      <c r="F324" s="151">
        <v>0</v>
      </c>
      <c r="G324" s="151">
        <v>1.319309093353048</v>
      </c>
      <c r="H324" s="151">
        <v>1.319309093353048</v>
      </c>
    </row>
    <row r="325" spans="1:8" outlineLevel="2" x14ac:dyDescent="0.25">
      <c r="A325" t="s">
        <v>66</v>
      </c>
      <c r="B325" t="s">
        <v>813</v>
      </c>
      <c r="C325" t="s">
        <v>804</v>
      </c>
      <c r="D325" s="66">
        <v>100</v>
      </c>
      <c r="E325" s="11">
        <v>2.2000000000000002</v>
      </c>
      <c r="F325" s="151">
        <v>1.9714586553755856E-2</v>
      </c>
      <c r="G325" s="151">
        <v>0.22671774536819234</v>
      </c>
      <c r="H325" s="151">
        <v>0.24643233192194819</v>
      </c>
    </row>
    <row r="326" spans="1:8" outlineLevel="2" x14ac:dyDescent="0.25">
      <c r="A326" t="s">
        <v>66</v>
      </c>
      <c r="B326" t="s">
        <v>813</v>
      </c>
      <c r="C326" t="s">
        <v>805</v>
      </c>
      <c r="D326" s="66">
        <v>0</v>
      </c>
      <c r="E326" s="11">
        <v>3</v>
      </c>
      <c r="F326" s="151">
        <v>0</v>
      </c>
      <c r="G326" s="151">
        <v>0</v>
      </c>
      <c r="H326" s="151">
        <v>0</v>
      </c>
    </row>
    <row r="327" spans="1:8" outlineLevel="2" x14ac:dyDescent="0.25">
      <c r="A327" t="s">
        <v>66</v>
      </c>
      <c r="B327" t="s">
        <v>813</v>
      </c>
      <c r="C327" t="s">
        <v>806</v>
      </c>
      <c r="D327" s="66">
        <v>276.2</v>
      </c>
      <c r="E327" s="11">
        <v>0.08</v>
      </c>
      <c r="F327" s="151">
        <v>1.980061384053588E-3</v>
      </c>
      <c r="G327" s="151">
        <v>2.2770705916616261E-2</v>
      </c>
      <c r="H327" s="151">
        <v>2.4750767300669847E-2</v>
      </c>
    </row>
    <row r="328" spans="1:8" outlineLevel="1" x14ac:dyDescent="0.25">
      <c r="A328" s="1" t="s">
        <v>966</v>
      </c>
      <c r="F328" s="151">
        <f>SUBTOTAL(9,F316:F327)</f>
        <v>40.335783856441964</v>
      </c>
      <c r="G328" s="151">
        <f>SUBTOTAL(9,G316:G327)</f>
        <v>53.979425499025467</v>
      </c>
      <c r="H328" s="151">
        <f>SUBTOTAL(9,H316:H327)</f>
        <v>94.315209355467445</v>
      </c>
    </row>
    <row r="329" spans="1:8" outlineLevel="2" x14ac:dyDescent="0.25">
      <c r="A329" t="s">
        <v>69</v>
      </c>
      <c r="B329" t="s">
        <v>810</v>
      </c>
      <c r="C329" t="s">
        <v>801</v>
      </c>
      <c r="D329" s="66">
        <v>0</v>
      </c>
      <c r="E329" s="11">
        <v>10</v>
      </c>
      <c r="F329" s="151">
        <v>0</v>
      </c>
      <c r="G329" s="151">
        <v>0</v>
      </c>
      <c r="H329" s="151">
        <v>0</v>
      </c>
    </row>
    <row r="330" spans="1:8" outlineLevel="2" x14ac:dyDescent="0.25">
      <c r="A330" t="s">
        <v>69</v>
      </c>
      <c r="B330" t="s">
        <v>810</v>
      </c>
      <c r="C330" t="s">
        <v>802</v>
      </c>
      <c r="D330" s="66">
        <v>0</v>
      </c>
      <c r="E330" s="11">
        <v>65</v>
      </c>
      <c r="F330" s="151">
        <v>0</v>
      </c>
      <c r="G330" s="151">
        <v>0</v>
      </c>
      <c r="H330" s="151">
        <v>0</v>
      </c>
    </row>
    <row r="331" spans="1:8" outlineLevel="2" x14ac:dyDescent="0.25">
      <c r="A331" t="s">
        <v>69</v>
      </c>
      <c r="B331" t="s">
        <v>810</v>
      </c>
      <c r="C331" t="s">
        <v>803</v>
      </c>
      <c r="D331" s="66">
        <v>0</v>
      </c>
      <c r="E331" s="11">
        <v>13</v>
      </c>
      <c r="F331" s="151">
        <v>0</v>
      </c>
      <c r="G331" s="151">
        <v>0</v>
      </c>
      <c r="H331" s="151">
        <v>0</v>
      </c>
    </row>
    <row r="332" spans="1:8" outlineLevel="2" x14ac:dyDescent="0.25">
      <c r="A332" t="s">
        <v>69</v>
      </c>
      <c r="B332" t="s">
        <v>810</v>
      </c>
      <c r="C332" t="s">
        <v>804</v>
      </c>
      <c r="D332" s="66">
        <v>0</v>
      </c>
      <c r="E332" s="11">
        <v>2.2000000000000002</v>
      </c>
      <c r="F332" s="151">
        <v>0</v>
      </c>
      <c r="G332" s="151">
        <v>0</v>
      </c>
      <c r="H332" s="151">
        <v>0</v>
      </c>
    </row>
    <row r="333" spans="1:8" outlineLevel="2" x14ac:dyDescent="0.25">
      <c r="A333" t="s">
        <v>69</v>
      </c>
      <c r="B333" t="s">
        <v>810</v>
      </c>
      <c r="C333" t="s">
        <v>805</v>
      </c>
      <c r="D333" s="66">
        <v>0</v>
      </c>
      <c r="E333" s="11">
        <v>3</v>
      </c>
      <c r="F333" s="151">
        <v>0</v>
      </c>
      <c r="G333" s="151">
        <v>0</v>
      </c>
      <c r="H333" s="151">
        <v>0</v>
      </c>
    </row>
    <row r="334" spans="1:8" outlineLevel="2" x14ac:dyDescent="0.25">
      <c r="A334" t="s">
        <v>69</v>
      </c>
      <c r="B334" t="s">
        <v>810</v>
      </c>
      <c r="C334" t="s">
        <v>806</v>
      </c>
      <c r="D334" s="66">
        <v>0</v>
      </c>
      <c r="E334" s="11">
        <v>0.08</v>
      </c>
      <c r="F334" s="151">
        <v>0</v>
      </c>
      <c r="G334" s="151">
        <v>0</v>
      </c>
      <c r="H334" s="151">
        <v>0</v>
      </c>
    </row>
    <row r="335" spans="1:8" outlineLevel="2" x14ac:dyDescent="0.25">
      <c r="A335" t="s">
        <v>69</v>
      </c>
      <c r="B335" t="s">
        <v>811</v>
      </c>
      <c r="C335" t="s">
        <v>801</v>
      </c>
      <c r="D335" s="66">
        <v>7098</v>
      </c>
      <c r="E335" s="11">
        <v>10</v>
      </c>
      <c r="F335" s="151">
        <v>39.754015726863365</v>
      </c>
      <c r="G335" s="151">
        <v>39.754015726863365</v>
      </c>
      <c r="H335" s="151">
        <v>79.50803145372673</v>
      </c>
    </row>
    <row r="336" spans="1:8" outlineLevel="2" x14ac:dyDescent="0.25">
      <c r="A336" t="s">
        <v>69</v>
      </c>
      <c r="B336" t="s">
        <v>811</v>
      </c>
      <c r="C336" t="s">
        <v>802</v>
      </c>
      <c r="D336" s="66">
        <v>70</v>
      </c>
      <c r="E336" s="11">
        <v>65</v>
      </c>
      <c r="F336" s="151">
        <v>0</v>
      </c>
      <c r="G336" s="151">
        <v>5.0966686829312007</v>
      </c>
      <c r="H336" s="151">
        <v>5.0966686829312007</v>
      </c>
    </row>
    <row r="337" spans="1:8" outlineLevel="2" x14ac:dyDescent="0.25">
      <c r="A337" t="s">
        <v>69</v>
      </c>
      <c r="B337" t="s">
        <v>811</v>
      </c>
      <c r="C337" t="s">
        <v>803</v>
      </c>
      <c r="D337" s="66">
        <v>1004</v>
      </c>
      <c r="E337" s="11">
        <v>13</v>
      </c>
      <c r="F337" s="151">
        <v>0</v>
      </c>
      <c r="G337" s="151">
        <v>14.620158164751215</v>
      </c>
      <c r="H337" s="151">
        <v>14.620158164751215</v>
      </c>
    </row>
    <row r="338" spans="1:8" outlineLevel="2" x14ac:dyDescent="0.25">
      <c r="A338" t="s">
        <v>69</v>
      </c>
      <c r="B338" t="s">
        <v>811</v>
      </c>
      <c r="C338" t="s">
        <v>804</v>
      </c>
      <c r="D338" s="66">
        <v>530</v>
      </c>
      <c r="E338" s="11">
        <v>2.2000000000000002</v>
      </c>
      <c r="F338" s="151">
        <v>0.65304567959316262</v>
      </c>
      <c r="G338" s="151">
        <v>0.65304567959316262</v>
      </c>
      <c r="H338" s="151">
        <v>1.3060913591863252</v>
      </c>
    </row>
    <row r="339" spans="1:8" outlineLevel="2" x14ac:dyDescent="0.25">
      <c r="A339" t="s">
        <v>69</v>
      </c>
      <c r="B339" t="s">
        <v>811</v>
      </c>
      <c r="C339" t="s">
        <v>805</v>
      </c>
      <c r="D339" s="66">
        <v>0</v>
      </c>
      <c r="E339" s="11">
        <v>3</v>
      </c>
      <c r="F339" s="151">
        <v>0</v>
      </c>
      <c r="G339" s="151">
        <v>0</v>
      </c>
      <c r="H339" s="151">
        <v>0</v>
      </c>
    </row>
    <row r="340" spans="1:8" outlineLevel="2" x14ac:dyDescent="0.25">
      <c r="A340" t="s">
        <v>69</v>
      </c>
      <c r="B340" t="s">
        <v>811</v>
      </c>
      <c r="C340" t="s">
        <v>806</v>
      </c>
      <c r="D340" s="66">
        <v>3951.4501274259947</v>
      </c>
      <c r="E340" s="11">
        <v>0.08</v>
      </c>
      <c r="F340" s="151">
        <v>0</v>
      </c>
      <c r="G340" s="151">
        <v>0.35409638886358802</v>
      </c>
      <c r="H340" s="151">
        <v>0.35409638886358802</v>
      </c>
    </row>
    <row r="341" spans="1:8" outlineLevel="1" x14ac:dyDescent="0.25">
      <c r="A341" s="1" t="s">
        <v>967</v>
      </c>
      <c r="F341" s="151">
        <f>SUBTOTAL(9,F329:F340)</f>
        <v>40.407061406456528</v>
      </c>
      <c r="G341" s="151">
        <f>SUBTOTAL(9,G329:G340)</f>
        <v>60.477984643002536</v>
      </c>
      <c r="H341" s="151">
        <f>SUBTOTAL(9,H329:H340)</f>
        <v>100.88504604945905</v>
      </c>
    </row>
    <row r="342" spans="1:8" outlineLevel="2" x14ac:dyDescent="0.25">
      <c r="A342" t="s">
        <v>70</v>
      </c>
      <c r="B342" t="s">
        <v>809</v>
      </c>
      <c r="C342" t="s">
        <v>801</v>
      </c>
      <c r="D342" s="66">
        <v>800</v>
      </c>
      <c r="E342" s="11">
        <v>10</v>
      </c>
      <c r="F342" s="151">
        <v>0.71689405650021287</v>
      </c>
      <c r="G342" s="151">
        <v>8.2442816497524483</v>
      </c>
      <c r="H342" s="151">
        <v>8.9611757062526607</v>
      </c>
    </row>
    <row r="343" spans="1:8" outlineLevel="2" x14ac:dyDescent="0.25">
      <c r="A343" t="s">
        <v>70</v>
      </c>
      <c r="B343" t="s">
        <v>809</v>
      </c>
      <c r="C343" t="s">
        <v>802</v>
      </c>
      <c r="D343" s="66">
        <v>82.4</v>
      </c>
      <c r="E343" s="11">
        <v>65</v>
      </c>
      <c r="F343" s="151">
        <v>0.47996057082689247</v>
      </c>
      <c r="G343" s="151">
        <v>5.5195465645092634</v>
      </c>
      <c r="H343" s="151">
        <v>5.999507135336156</v>
      </c>
    </row>
    <row r="344" spans="1:8" outlineLevel="2" x14ac:dyDescent="0.25">
      <c r="A344" t="s">
        <v>70</v>
      </c>
      <c r="B344" t="s">
        <v>809</v>
      </c>
      <c r="C344" t="s">
        <v>803</v>
      </c>
      <c r="D344" s="66">
        <v>24.04</v>
      </c>
      <c r="E344" s="11">
        <v>13</v>
      </c>
      <c r="F344" s="151">
        <v>2.8005466317180813E-2</v>
      </c>
      <c r="G344" s="151">
        <v>0.32206286264757933</v>
      </c>
      <c r="H344" s="151">
        <v>0.35006832896476014</v>
      </c>
    </row>
    <row r="345" spans="1:8" outlineLevel="2" x14ac:dyDescent="0.25">
      <c r="A345" t="s">
        <v>70</v>
      </c>
      <c r="B345" t="s">
        <v>809</v>
      </c>
      <c r="C345" t="s">
        <v>804</v>
      </c>
      <c r="D345" s="66">
        <v>6.76</v>
      </c>
      <c r="E345" s="11">
        <v>2.2000000000000002</v>
      </c>
      <c r="F345" s="151">
        <v>1.3327060510338956E-3</v>
      </c>
      <c r="G345" s="151">
        <v>1.53261195868898E-2</v>
      </c>
      <c r="H345" s="151">
        <v>1.6658825637923695E-2</v>
      </c>
    </row>
    <row r="346" spans="1:8" outlineLevel="2" x14ac:dyDescent="0.25">
      <c r="A346" t="s">
        <v>70</v>
      </c>
      <c r="B346" t="s">
        <v>809</v>
      </c>
      <c r="C346" t="s">
        <v>805</v>
      </c>
      <c r="D346" s="66">
        <v>3</v>
      </c>
      <c r="E346" s="11">
        <v>3</v>
      </c>
      <c r="F346" s="151">
        <v>8.0650581356273942E-4</v>
      </c>
      <c r="G346" s="151">
        <v>9.2748168559715037E-3</v>
      </c>
      <c r="H346" s="151">
        <v>1.0081322669534242E-2</v>
      </c>
    </row>
    <row r="347" spans="1:8" outlineLevel="2" x14ac:dyDescent="0.25">
      <c r="A347" t="s">
        <v>70</v>
      </c>
      <c r="B347" t="s">
        <v>809</v>
      </c>
      <c r="C347" t="s">
        <v>806</v>
      </c>
      <c r="D347" s="66">
        <v>78.760000000000005</v>
      </c>
      <c r="E347" s="11">
        <v>0.08</v>
      </c>
      <c r="F347" s="151">
        <v>5.6462575889956767E-4</v>
      </c>
      <c r="G347" s="151">
        <v>6.4931962273450288E-3</v>
      </c>
      <c r="H347" s="151">
        <v>7.0578219862445961E-3</v>
      </c>
    </row>
    <row r="348" spans="1:8" outlineLevel="2" x14ac:dyDescent="0.25">
      <c r="A348" t="s">
        <v>70</v>
      </c>
      <c r="B348" t="s">
        <v>811</v>
      </c>
      <c r="C348" t="s">
        <v>801</v>
      </c>
      <c r="D348" s="66">
        <v>19200</v>
      </c>
      <c r="E348" s="11">
        <v>10</v>
      </c>
      <c r="F348" s="151">
        <v>43.013643390012774</v>
      </c>
      <c r="G348" s="151">
        <v>172.0545735600511</v>
      </c>
      <c r="H348" s="151">
        <v>215.06821695006386</v>
      </c>
    </row>
    <row r="349" spans="1:8" outlineLevel="2" x14ac:dyDescent="0.25">
      <c r="A349" t="s">
        <v>70</v>
      </c>
      <c r="B349" t="s">
        <v>811</v>
      </c>
      <c r="C349" t="s">
        <v>802</v>
      </c>
      <c r="D349" s="66">
        <v>1977.6</v>
      </c>
      <c r="E349" s="11">
        <v>65</v>
      </c>
      <c r="F349" s="151">
        <v>0</v>
      </c>
      <c r="G349" s="151">
        <v>143.98817124806774</v>
      </c>
      <c r="H349" s="151">
        <v>143.98817124806774</v>
      </c>
    </row>
    <row r="350" spans="1:8" outlineLevel="2" x14ac:dyDescent="0.25">
      <c r="A350" t="s">
        <v>70</v>
      </c>
      <c r="B350" t="s">
        <v>811</v>
      </c>
      <c r="C350" t="s">
        <v>803</v>
      </c>
      <c r="D350" s="66">
        <v>576.95999999999992</v>
      </c>
      <c r="E350" s="11">
        <v>13</v>
      </c>
      <c r="F350" s="151">
        <v>0</v>
      </c>
      <c r="G350" s="151">
        <v>8.4016398951542435</v>
      </c>
      <c r="H350" s="151">
        <v>8.4016398951542435</v>
      </c>
    </row>
    <row r="351" spans="1:8" outlineLevel="2" x14ac:dyDescent="0.25">
      <c r="A351" t="s">
        <v>70</v>
      </c>
      <c r="B351" t="s">
        <v>811</v>
      </c>
      <c r="C351" t="s">
        <v>804</v>
      </c>
      <c r="D351" s="66">
        <v>162.23999999999998</v>
      </c>
      <c r="E351" s="11">
        <v>2.2000000000000002</v>
      </c>
      <c r="F351" s="151">
        <v>7.9962363062033748E-2</v>
      </c>
      <c r="G351" s="151">
        <v>0.31984945224813499</v>
      </c>
      <c r="H351" s="151">
        <v>0.39981181531016868</v>
      </c>
    </row>
    <row r="352" spans="1:8" outlineLevel="2" x14ac:dyDescent="0.25">
      <c r="A352" t="s">
        <v>70</v>
      </c>
      <c r="B352" t="s">
        <v>811</v>
      </c>
      <c r="C352" t="s">
        <v>805</v>
      </c>
      <c r="D352" s="66">
        <v>72</v>
      </c>
      <c r="E352" s="11">
        <v>3</v>
      </c>
      <c r="F352" s="151">
        <v>0</v>
      </c>
      <c r="G352" s="151">
        <v>0.24195174406882183</v>
      </c>
      <c r="H352" s="151">
        <v>0.24195174406882183</v>
      </c>
    </row>
    <row r="353" spans="1:8" outlineLevel="2" x14ac:dyDescent="0.25">
      <c r="A353" t="s">
        <v>70</v>
      </c>
      <c r="B353" t="s">
        <v>811</v>
      </c>
      <c r="C353" t="s">
        <v>806</v>
      </c>
      <c r="D353" s="66">
        <v>1890.24</v>
      </c>
      <c r="E353" s="11">
        <v>0.08</v>
      </c>
      <c r="F353" s="151">
        <v>0</v>
      </c>
      <c r="G353" s="151">
        <v>0.16938772766987029</v>
      </c>
      <c r="H353" s="151">
        <v>0.16938772766987029</v>
      </c>
    </row>
    <row r="354" spans="1:8" outlineLevel="1" x14ac:dyDescent="0.25">
      <c r="A354" s="1" t="s">
        <v>968</v>
      </c>
      <c r="F354" s="151">
        <f>SUBTOTAL(9,F342:F353)</f>
        <v>44.321169684342586</v>
      </c>
      <c r="G354" s="151">
        <f>SUBTOTAL(9,G342:G353)</f>
        <v>339.29255883683942</v>
      </c>
      <c r="H354" s="151">
        <f>SUBTOTAL(9,H342:H353)</f>
        <v>383.613728521182</v>
      </c>
    </row>
    <row r="355" spans="1:8" outlineLevel="2" x14ac:dyDescent="0.25">
      <c r="A355" t="s">
        <v>71</v>
      </c>
      <c r="B355" t="s">
        <v>811</v>
      </c>
      <c r="C355" t="s">
        <v>801</v>
      </c>
      <c r="D355" s="66">
        <v>3541</v>
      </c>
      <c r="E355" s="11">
        <v>10</v>
      </c>
      <c r="F355" s="151">
        <v>5.9496605954701254</v>
      </c>
      <c r="G355" s="151">
        <v>33.714743374330709</v>
      </c>
      <c r="H355" s="151">
        <v>39.664403969800837</v>
      </c>
    </row>
    <row r="356" spans="1:8" outlineLevel="2" x14ac:dyDescent="0.25">
      <c r="A356" t="s">
        <v>71</v>
      </c>
      <c r="B356" t="s">
        <v>811</v>
      </c>
      <c r="C356" t="s">
        <v>802</v>
      </c>
      <c r="D356" s="66">
        <v>12000</v>
      </c>
      <c r="E356" s="11">
        <v>65</v>
      </c>
      <c r="F356" s="151">
        <v>0</v>
      </c>
      <c r="G356" s="151">
        <v>873.71463135963438</v>
      </c>
      <c r="H356" s="151">
        <v>873.71463135963438</v>
      </c>
    </row>
    <row r="357" spans="1:8" outlineLevel="2" x14ac:dyDescent="0.25">
      <c r="A357" t="s">
        <v>71</v>
      </c>
      <c r="B357" t="s">
        <v>811</v>
      </c>
      <c r="C357" t="s">
        <v>803</v>
      </c>
      <c r="D357" s="66">
        <v>650</v>
      </c>
      <c r="E357" s="11">
        <v>13</v>
      </c>
      <c r="F357" s="151">
        <v>0</v>
      </c>
      <c r="G357" s="151">
        <v>9.4652418397293729</v>
      </c>
      <c r="H357" s="151">
        <v>9.4652418397293729</v>
      </c>
    </row>
    <row r="358" spans="1:8" outlineLevel="2" x14ac:dyDescent="0.25">
      <c r="A358" t="s">
        <v>71</v>
      </c>
      <c r="B358" t="s">
        <v>811</v>
      </c>
      <c r="C358" t="s">
        <v>804</v>
      </c>
      <c r="D358" s="66">
        <v>450</v>
      </c>
      <c r="E358" s="11">
        <v>2.2000000000000002</v>
      </c>
      <c r="F358" s="151">
        <v>0.16634182404731501</v>
      </c>
      <c r="G358" s="151">
        <v>0.94260366960145181</v>
      </c>
      <c r="H358" s="151">
        <v>1.1089454936487668</v>
      </c>
    </row>
    <row r="359" spans="1:8" outlineLevel="2" x14ac:dyDescent="0.25">
      <c r="A359" t="s">
        <v>71</v>
      </c>
      <c r="B359" t="s">
        <v>811</v>
      </c>
      <c r="C359" t="s">
        <v>805</v>
      </c>
      <c r="D359" s="66">
        <v>23</v>
      </c>
      <c r="E359" s="11">
        <v>3</v>
      </c>
      <c r="F359" s="151">
        <v>0</v>
      </c>
      <c r="G359" s="151">
        <v>7.7290140466429194E-2</v>
      </c>
      <c r="H359" s="151">
        <v>7.7290140466429194E-2</v>
      </c>
    </row>
    <row r="360" spans="1:8" outlineLevel="2" x14ac:dyDescent="0.25">
      <c r="A360" t="s">
        <v>71</v>
      </c>
      <c r="B360" t="s">
        <v>811</v>
      </c>
      <c r="C360" t="s">
        <v>806</v>
      </c>
      <c r="D360" s="66">
        <v>1081.4613409135463</v>
      </c>
      <c r="E360" s="11">
        <v>0.08</v>
      </c>
      <c r="F360" s="151">
        <v>0</v>
      </c>
      <c r="G360" s="151">
        <v>9.6911650954458972E-2</v>
      </c>
      <c r="H360" s="151">
        <v>9.6911650954458972E-2</v>
      </c>
    </row>
    <row r="361" spans="1:8" outlineLevel="1" x14ac:dyDescent="0.25">
      <c r="A361" s="1" t="s">
        <v>969</v>
      </c>
      <c r="F361" s="151">
        <f>SUBTOTAL(9,F355:F360)</f>
        <v>6.1160024195174403</v>
      </c>
      <c r="G361" s="151">
        <f>SUBTOTAL(9,G355:G360)</f>
        <v>918.01142203471682</v>
      </c>
      <c r="H361" s="151">
        <f>SUBTOTAL(9,H355:H360)</f>
        <v>924.12742445423419</v>
      </c>
    </row>
    <row r="362" spans="1:8" outlineLevel="2" x14ac:dyDescent="0.25">
      <c r="A362" t="s">
        <v>72</v>
      </c>
      <c r="B362" t="s">
        <v>811</v>
      </c>
      <c r="C362" t="s">
        <v>801</v>
      </c>
      <c r="D362" s="66">
        <v>5853</v>
      </c>
      <c r="E362" s="11">
        <v>10</v>
      </c>
      <c r="F362" s="151">
        <v>32.78110088043551</v>
      </c>
      <c r="G362" s="151">
        <v>32.78110088043551</v>
      </c>
      <c r="H362" s="151">
        <v>65.562201760871019</v>
      </c>
    </row>
    <row r="363" spans="1:8" outlineLevel="2" x14ac:dyDescent="0.25">
      <c r="A363" t="s">
        <v>72</v>
      </c>
      <c r="B363" t="s">
        <v>811</v>
      </c>
      <c r="C363" t="s">
        <v>802</v>
      </c>
      <c r="D363" s="66">
        <v>30</v>
      </c>
      <c r="E363" s="11">
        <v>65</v>
      </c>
      <c r="F363" s="151">
        <v>0</v>
      </c>
      <c r="G363" s="151">
        <v>2.1842865783990861</v>
      </c>
      <c r="H363" s="151">
        <v>2.1842865783990861</v>
      </c>
    </row>
    <row r="364" spans="1:8" outlineLevel="2" x14ac:dyDescent="0.25">
      <c r="A364" t="s">
        <v>72</v>
      </c>
      <c r="B364" t="s">
        <v>811</v>
      </c>
      <c r="C364" t="s">
        <v>803</v>
      </c>
      <c r="D364" s="66">
        <v>954</v>
      </c>
      <c r="E364" s="11">
        <v>13</v>
      </c>
      <c r="F364" s="151">
        <v>0</v>
      </c>
      <c r="G364" s="151">
        <v>13.892062638618187</v>
      </c>
      <c r="H364" s="151">
        <v>13.892062638618187</v>
      </c>
    </row>
    <row r="365" spans="1:8" outlineLevel="2" x14ac:dyDescent="0.25">
      <c r="A365" t="s">
        <v>72</v>
      </c>
      <c r="B365" t="s">
        <v>811</v>
      </c>
      <c r="C365" t="s">
        <v>804</v>
      </c>
      <c r="D365" s="66">
        <v>1684</v>
      </c>
      <c r="E365" s="11">
        <v>2.2000000000000002</v>
      </c>
      <c r="F365" s="151">
        <v>2.0749602347828038</v>
      </c>
      <c r="G365" s="151">
        <v>2.0749602347828038</v>
      </c>
      <c r="H365" s="151">
        <v>4.1499204695656076</v>
      </c>
    </row>
    <row r="366" spans="1:8" outlineLevel="2" x14ac:dyDescent="0.25">
      <c r="A366" t="s">
        <v>72</v>
      </c>
      <c r="B366" t="s">
        <v>811</v>
      </c>
      <c r="C366" t="s">
        <v>805</v>
      </c>
      <c r="D366" s="66">
        <v>43</v>
      </c>
      <c r="E366" s="11">
        <v>3</v>
      </c>
      <c r="F366" s="151">
        <v>0</v>
      </c>
      <c r="G366" s="151">
        <v>0.14449895826332415</v>
      </c>
      <c r="H366" s="151">
        <v>0.14449895826332415</v>
      </c>
    </row>
    <row r="367" spans="1:8" outlineLevel="2" x14ac:dyDescent="0.25">
      <c r="A367" t="s">
        <v>72</v>
      </c>
      <c r="B367" t="s">
        <v>811</v>
      </c>
      <c r="C367" t="s">
        <v>806</v>
      </c>
      <c r="D367" s="66">
        <v>3344</v>
      </c>
      <c r="E367" s="11">
        <v>0.08</v>
      </c>
      <c r="F367" s="151">
        <v>0</v>
      </c>
      <c r="G367" s="151">
        <v>0.29966171561708893</v>
      </c>
      <c r="H367" s="151">
        <v>0.29966171561708893</v>
      </c>
    </row>
    <row r="368" spans="1:8" outlineLevel="1" x14ac:dyDescent="0.25">
      <c r="A368" s="1" t="s">
        <v>970</v>
      </c>
      <c r="F368" s="151">
        <f>SUBTOTAL(9,F362:F367)</f>
        <v>34.85606111521831</v>
      </c>
      <c r="G368" s="151">
        <f>SUBTOTAL(9,G362:G367)</f>
        <v>51.376571006116009</v>
      </c>
      <c r="H368" s="151">
        <f>SUBTOTAL(9,H362:H367)</f>
        <v>86.232632121334319</v>
      </c>
    </row>
    <row r="369" spans="1:8" outlineLevel="2" x14ac:dyDescent="0.25">
      <c r="A369" t="s">
        <v>73</v>
      </c>
      <c r="B369" t="s">
        <v>810</v>
      </c>
      <c r="C369" t="s">
        <v>801</v>
      </c>
      <c r="D369" s="66">
        <v>9787.1400000000012</v>
      </c>
      <c r="E369" s="11">
        <v>10</v>
      </c>
      <c r="F369" s="151">
        <v>10.963035150211709</v>
      </c>
      <c r="G369" s="151">
        <v>98.66731635190537</v>
      </c>
      <c r="H369" s="151">
        <v>109.63035150211708</v>
      </c>
    </row>
    <row r="370" spans="1:8" outlineLevel="2" x14ac:dyDescent="0.25">
      <c r="A370" t="s">
        <v>73</v>
      </c>
      <c r="B370" t="s">
        <v>810</v>
      </c>
      <c r="C370" t="s">
        <v>802</v>
      </c>
      <c r="D370" s="66">
        <v>463.32000000000005</v>
      </c>
      <c r="E370" s="11">
        <v>65</v>
      </c>
      <c r="F370" s="151">
        <v>2.6987297533436392</v>
      </c>
      <c r="G370" s="151">
        <v>31.035392163451849</v>
      </c>
      <c r="H370" s="151">
        <v>33.734121916795488</v>
      </c>
    </row>
    <row r="371" spans="1:8" outlineLevel="2" x14ac:dyDescent="0.25">
      <c r="A371" t="s">
        <v>73</v>
      </c>
      <c r="B371" t="s">
        <v>810</v>
      </c>
      <c r="C371" t="s">
        <v>803</v>
      </c>
      <c r="D371" s="66">
        <v>220.77</v>
      </c>
      <c r="E371" s="11">
        <v>13</v>
      </c>
      <c r="F371" s="151">
        <v>0</v>
      </c>
      <c r="G371" s="151">
        <v>3.2148329860877749</v>
      </c>
      <c r="H371" s="151">
        <v>3.2148329860877749</v>
      </c>
    </row>
    <row r="372" spans="1:8" outlineLevel="2" x14ac:dyDescent="0.25">
      <c r="A372" t="s">
        <v>73</v>
      </c>
      <c r="B372" t="s">
        <v>810</v>
      </c>
      <c r="C372" t="s">
        <v>804</v>
      </c>
      <c r="D372" s="66">
        <v>795.96</v>
      </c>
      <c r="E372" s="11">
        <v>2.2000000000000002</v>
      </c>
      <c r="F372" s="151">
        <v>0.1961502789165939</v>
      </c>
      <c r="G372" s="151">
        <v>1.765352510249345</v>
      </c>
      <c r="H372" s="151">
        <v>1.9615027891659389</v>
      </c>
    </row>
    <row r="373" spans="1:8" outlineLevel="2" x14ac:dyDescent="0.25">
      <c r="A373" t="s">
        <v>73</v>
      </c>
      <c r="B373" t="s">
        <v>810</v>
      </c>
      <c r="C373" t="s">
        <v>805</v>
      </c>
      <c r="D373" s="66">
        <v>47.190000000000005</v>
      </c>
      <c r="E373" s="11">
        <v>3</v>
      </c>
      <c r="F373" s="151">
        <v>1.2686336447341892E-2</v>
      </c>
      <c r="G373" s="151">
        <v>0.14589286914443178</v>
      </c>
      <c r="H373" s="151">
        <v>0.15857920559177366</v>
      </c>
    </row>
    <row r="374" spans="1:8" outlineLevel="2" x14ac:dyDescent="0.25">
      <c r="A374" t="s">
        <v>73</v>
      </c>
      <c r="B374" t="s">
        <v>810</v>
      </c>
      <c r="C374" t="s">
        <v>806</v>
      </c>
      <c r="D374" s="66">
        <v>423.39000000000004</v>
      </c>
      <c r="E374" s="11">
        <v>0.08</v>
      </c>
      <c r="F374" s="151">
        <v>3.0352577458162512E-3</v>
      </c>
      <c r="G374" s="151">
        <v>3.490546407688689E-2</v>
      </c>
      <c r="H374" s="151">
        <v>3.7940721822703138E-2</v>
      </c>
    </row>
    <row r="375" spans="1:8" outlineLevel="2" x14ac:dyDescent="0.25">
      <c r="A375" t="s">
        <v>73</v>
      </c>
      <c r="B375" t="s">
        <v>811</v>
      </c>
      <c r="C375" t="s">
        <v>801</v>
      </c>
      <c r="D375" s="66">
        <v>19870.86</v>
      </c>
      <c r="E375" s="11">
        <v>10</v>
      </c>
      <c r="F375" s="151">
        <v>22.25828348679347</v>
      </c>
      <c r="G375" s="151">
        <v>200.32455138114122</v>
      </c>
      <c r="H375" s="151">
        <v>222.58283486793468</v>
      </c>
    </row>
    <row r="376" spans="1:8" outlineLevel="2" x14ac:dyDescent="0.25">
      <c r="A376" t="s">
        <v>73</v>
      </c>
      <c r="B376" t="s">
        <v>811</v>
      </c>
      <c r="C376" t="s">
        <v>802</v>
      </c>
      <c r="D376" s="66">
        <v>940.68000000000006</v>
      </c>
      <c r="E376" s="11">
        <v>65</v>
      </c>
      <c r="F376" s="151">
        <v>0</v>
      </c>
      <c r="G376" s="151">
        <v>68.490489952281749</v>
      </c>
      <c r="H376" s="151">
        <v>68.490489952281749</v>
      </c>
    </row>
    <row r="377" spans="1:8" outlineLevel="2" x14ac:dyDescent="0.25">
      <c r="A377" t="s">
        <v>73</v>
      </c>
      <c r="B377" t="s">
        <v>811</v>
      </c>
      <c r="C377" t="s">
        <v>803</v>
      </c>
      <c r="D377" s="66">
        <v>448.23</v>
      </c>
      <c r="E377" s="11">
        <v>13</v>
      </c>
      <c r="F377" s="151">
        <v>0</v>
      </c>
      <c r="G377" s="151">
        <v>6.5270851535721484</v>
      </c>
      <c r="H377" s="151">
        <v>6.5270851535721484</v>
      </c>
    </row>
    <row r="378" spans="1:8" outlineLevel="2" x14ac:dyDescent="0.25">
      <c r="A378" t="s">
        <v>73</v>
      </c>
      <c r="B378" t="s">
        <v>811</v>
      </c>
      <c r="C378" t="s">
        <v>804</v>
      </c>
      <c r="D378" s="66">
        <v>1616.0400000000002</v>
      </c>
      <c r="E378" s="11">
        <v>2.2000000000000002</v>
      </c>
      <c r="F378" s="151">
        <v>0.39824450567914527</v>
      </c>
      <c r="G378" s="151">
        <v>3.584200551112307</v>
      </c>
      <c r="H378" s="151">
        <v>3.9824450567914522</v>
      </c>
    </row>
    <row r="379" spans="1:8" outlineLevel="2" x14ac:dyDescent="0.25">
      <c r="A379" t="s">
        <v>73</v>
      </c>
      <c r="B379" t="s">
        <v>811</v>
      </c>
      <c r="C379" t="s">
        <v>805</v>
      </c>
      <c r="D379" s="66">
        <v>95.81</v>
      </c>
      <c r="E379" s="11">
        <v>3</v>
      </c>
      <c r="F379" s="151">
        <v>0</v>
      </c>
      <c r="G379" s="151">
        <v>0.32196384165602526</v>
      </c>
      <c r="H379" s="151">
        <v>0.32196384165602526</v>
      </c>
    </row>
    <row r="380" spans="1:8" outlineLevel="2" x14ac:dyDescent="0.25">
      <c r="A380" t="s">
        <v>73</v>
      </c>
      <c r="B380" t="s">
        <v>811</v>
      </c>
      <c r="C380" t="s">
        <v>806</v>
      </c>
      <c r="D380" s="66">
        <v>859.61</v>
      </c>
      <c r="E380" s="11">
        <v>0.08</v>
      </c>
      <c r="F380" s="151">
        <v>0</v>
      </c>
      <c r="G380" s="151">
        <v>7.703116248851849E-2</v>
      </c>
      <c r="H380" s="151">
        <v>7.703116248851849E-2</v>
      </c>
    </row>
    <row r="381" spans="1:8" outlineLevel="1" x14ac:dyDescent="0.25">
      <c r="A381" s="1" t="s">
        <v>971</v>
      </c>
      <c r="F381" s="151">
        <f>SUBTOTAL(9,F369:F380)</f>
        <v>36.530164769137713</v>
      </c>
      <c r="G381" s="151">
        <f>SUBTOTAL(9,G369:G380)</f>
        <v>414.18901438716767</v>
      </c>
      <c r="H381" s="151">
        <f>SUBTOTAL(9,H369:H380)</f>
        <v>450.71917915630536</v>
      </c>
    </row>
    <row r="382" spans="1:8" outlineLevel="2" x14ac:dyDescent="0.25">
      <c r="A382" t="s">
        <v>74</v>
      </c>
      <c r="B382" t="s">
        <v>939</v>
      </c>
      <c r="C382" t="s">
        <v>801</v>
      </c>
      <c r="D382" s="66">
        <v>227298</v>
      </c>
      <c r="E382" s="11">
        <v>10</v>
      </c>
      <c r="F382" s="151">
        <v>254.60716445997716</v>
      </c>
      <c r="G382" s="151">
        <v>2291.4644801397944</v>
      </c>
      <c r="H382" s="151">
        <v>2546.0716445997714</v>
      </c>
    </row>
    <row r="383" spans="1:8" outlineLevel="2" x14ac:dyDescent="0.25">
      <c r="A383" t="s">
        <v>74</v>
      </c>
      <c r="B383" t="s">
        <v>939</v>
      </c>
      <c r="C383" t="s">
        <v>802</v>
      </c>
      <c r="D383" s="66">
        <v>0</v>
      </c>
      <c r="E383" s="11">
        <v>65</v>
      </c>
      <c r="F383" s="151">
        <v>0</v>
      </c>
      <c r="G383" s="151">
        <v>0</v>
      </c>
      <c r="H383" s="151">
        <v>0</v>
      </c>
    </row>
    <row r="384" spans="1:8" outlineLevel="2" x14ac:dyDescent="0.25">
      <c r="A384" t="s">
        <v>74</v>
      </c>
      <c r="B384" t="s">
        <v>939</v>
      </c>
      <c r="C384" t="s">
        <v>803</v>
      </c>
      <c r="D384" s="66">
        <v>432</v>
      </c>
      <c r="E384" s="11">
        <v>13</v>
      </c>
      <c r="F384" s="151">
        <v>0</v>
      </c>
      <c r="G384" s="151">
        <v>6.2907453457893672</v>
      </c>
      <c r="H384" s="151">
        <v>6.2907453457893672</v>
      </c>
    </row>
    <row r="385" spans="1:8" outlineLevel="2" x14ac:dyDescent="0.25">
      <c r="A385" t="s">
        <v>74</v>
      </c>
      <c r="B385" t="s">
        <v>939</v>
      </c>
      <c r="C385" t="s">
        <v>804</v>
      </c>
      <c r="D385" s="66">
        <v>21</v>
      </c>
      <c r="E385" s="11">
        <v>2.2000000000000002</v>
      </c>
      <c r="F385" s="151">
        <v>5.1750789703609119E-3</v>
      </c>
      <c r="G385" s="151">
        <v>4.6575710733248205E-2</v>
      </c>
      <c r="H385" s="151">
        <v>5.1750789703609114E-2</v>
      </c>
    </row>
    <row r="386" spans="1:8" outlineLevel="2" x14ac:dyDescent="0.25">
      <c r="A386" t="s">
        <v>74</v>
      </c>
      <c r="B386" t="s">
        <v>939</v>
      </c>
      <c r="C386" t="s">
        <v>805</v>
      </c>
      <c r="D386" s="66">
        <v>0</v>
      </c>
      <c r="E386" s="11">
        <v>3</v>
      </c>
      <c r="F386" s="151">
        <v>0</v>
      </c>
      <c r="G386" s="151">
        <v>0</v>
      </c>
      <c r="H386" s="151">
        <v>0</v>
      </c>
    </row>
    <row r="387" spans="1:8" outlineLevel="2" x14ac:dyDescent="0.25">
      <c r="A387" t="s">
        <v>74</v>
      </c>
      <c r="B387" t="s">
        <v>939</v>
      </c>
      <c r="C387" t="s">
        <v>806</v>
      </c>
      <c r="D387" s="66">
        <v>207</v>
      </c>
      <c r="E387" s="11">
        <v>0.08</v>
      </c>
      <c r="F387" s="151">
        <v>0</v>
      </c>
      <c r="G387" s="151">
        <v>1.8549633711943004E-2</v>
      </c>
      <c r="H387" s="151">
        <v>1.8549633711943004E-2</v>
      </c>
    </row>
    <row r="388" spans="1:8" outlineLevel="1" x14ac:dyDescent="0.25">
      <c r="A388" s="1" t="s">
        <v>972</v>
      </c>
      <c r="F388" s="151">
        <f>SUBTOTAL(9,F382:F387)</f>
        <v>254.61233953894751</v>
      </c>
      <c r="G388" s="151">
        <f>SUBTOTAL(9,G382:G387)</f>
        <v>2297.8203508300289</v>
      </c>
      <c r="H388" s="151">
        <f>SUBTOTAL(9,H382:H387)</f>
        <v>2552.4326903689762</v>
      </c>
    </row>
    <row r="389" spans="1:8" outlineLevel="2" x14ac:dyDescent="0.25">
      <c r="A389" t="s">
        <v>75</v>
      </c>
      <c r="B389" t="s">
        <v>811</v>
      </c>
      <c r="C389" t="s">
        <v>801</v>
      </c>
      <c r="D389" s="66">
        <v>8424</v>
      </c>
      <c r="E389" s="11">
        <v>10</v>
      </c>
      <c r="F389" s="151">
        <v>18.872236037368104</v>
      </c>
      <c r="G389" s="151">
        <v>75.488944149472417</v>
      </c>
      <c r="H389" s="151">
        <v>94.361180186840514</v>
      </c>
    </row>
    <row r="390" spans="1:8" outlineLevel="2" x14ac:dyDescent="0.25">
      <c r="A390" t="s">
        <v>75</v>
      </c>
      <c r="B390" t="s">
        <v>811</v>
      </c>
      <c r="C390" t="s">
        <v>802</v>
      </c>
      <c r="D390" s="66">
        <v>8500</v>
      </c>
      <c r="E390" s="11">
        <v>65</v>
      </c>
      <c r="F390" s="151">
        <v>0</v>
      </c>
      <c r="G390" s="151">
        <v>618.8811972130743</v>
      </c>
      <c r="H390" s="151">
        <v>618.8811972130743</v>
      </c>
    </row>
    <row r="391" spans="1:8" outlineLevel="2" x14ac:dyDescent="0.25">
      <c r="A391" t="s">
        <v>75</v>
      </c>
      <c r="B391" t="s">
        <v>811</v>
      </c>
      <c r="C391" t="s">
        <v>803</v>
      </c>
      <c r="D391" s="66">
        <v>1398</v>
      </c>
      <c r="E391" s="11">
        <v>13</v>
      </c>
      <c r="F391" s="151">
        <v>0</v>
      </c>
      <c r="G391" s="151">
        <v>20.357550910679482</v>
      </c>
      <c r="H391" s="151">
        <v>20.357550910679482</v>
      </c>
    </row>
    <row r="392" spans="1:8" outlineLevel="2" x14ac:dyDescent="0.25">
      <c r="A392" t="s">
        <v>75</v>
      </c>
      <c r="B392" t="s">
        <v>811</v>
      </c>
      <c r="C392" t="s">
        <v>804</v>
      </c>
      <c r="D392" s="66">
        <v>1214</v>
      </c>
      <c r="E392" s="11">
        <v>2.2000000000000002</v>
      </c>
      <c r="F392" s="151">
        <v>0.59833770190649016</v>
      </c>
      <c r="G392" s="151">
        <v>2.3933508076259606</v>
      </c>
      <c r="H392" s="151">
        <v>2.9916885095324508</v>
      </c>
    </row>
    <row r="393" spans="1:8" outlineLevel="2" x14ac:dyDescent="0.25">
      <c r="A393" t="s">
        <v>75</v>
      </c>
      <c r="B393" t="s">
        <v>811</v>
      </c>
      <c r="C393" t="s">
        <v>805</v>
      </c>
      <c r="D393" s="66">
        <v>46</v>
      </c>
      <c r="E393" s="11">
        <v>3</v>
      </c>
      <c r="F393" s="151">
        <v>0</v>
      </c>
      <c r="G393" s="151">
        <v>0.15458028093285839</v>
      </c>
      <c r="H393" s="151">
        <v>0.15458028093285839</v>
      </c>
    </row>
    <row r="394" spans="1:8" outlineLevel="2" x14ac:dyDescent="0.25">
      <c r="A394" t="s">
        <v>75</v>
      </c>
      <c r="B394" t="s">
        <v>811</v>
      </c>
      <c r="C394" t="s">
        <v>806</v>
      </c>
      <c r="D394" s="66">
        <v>6482</v>
      </c>
      <c r="E394" s="11">
        <v>0.08</v>
      </c>
      <c r="F394" s="151">
        <v>0</v>
      </c>
      <c r="G394" s="151">
        <v>0.58086340927929747</v>
      </c>
      <c r="H394" s="151">
        <v>0.58086340927929747</v>
      </c>
    </row>
    <row r="395" spans="1:8" outlineLevel="1" x14ac:dyDescent="0.25">
      <c r="A395" s="1" t="s">
        <v>973</v>
      </c>
      <c r="F395" s="151">
        <f>SUBTOTAL(9,F389:F394)</f>
        <v>19.470573739274595</v>
      </c>
      <c r="G395" s="151">
        <f>SUBTOTAL(9,G389:G394)</f>
        <v>717.8564867710644</v>
      </c>
      <c r="H395" s="151">
        <f>SUBTOTAL(9,H389:H394)</f>
        <v>737.32706051033892</v>
      </c>
    </row>
    <row r="396" spans="1:8" x14ac:dyDescent="0.25">
      <c r="A396" s="1" t="s">
        <v>974</v>
      </c>
      <c r="F396" s="151">
        <f>SUBTOTAL(9,F3:F394)</f>
        <v>3147.2181257700686</v>
      </c>
      <c r="G396" s="151">
        <f>SUBTOTAL(9,G3:G394)</f>
        <v>35371.439277561258</v>
      </c>
      <c r="H396" s="151">
        <f>SUBTOTAL(9,H3:H394)</f>
        <v>38518.657403331366</v>
      </c>
    </row>
  </sheetData>
  <mergeCells count="1">
    <mergeCell ref="K5:P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B3964-095D-4678-A2CE-0304E11A53BF}">
  <dimension ref="B2:M36"/>
  <sheetViews>
    <sheetView workbookViewId="0"/>
  </sheetViews>
  <sheetFormatPr defaultRowHeight="15" x14ac:dyDescent="0.25"/>
  <cols>
    <col min="2" max="2" width="20" customWidth="1"/>
    <col min="3" max="3" width="56.5703125" bestFit="1" customWidth="1"/>
    <col min="4" max="4" width="8.28515625" bestFit="1" customWidth="1"/>
    <col min="5" max="5" width="7.7109375" bestFit="1" customWidth="1"/>
    <col min="6" max="6" width="5.7109375" bestFit="1" customWidth="1"/>
    <col min="7" max="7" width="5.42578125" bestFit="1" customWidth="1"/>
    <col min="8" max="8" width="5" bestFit="1" customWidth="1"/>
    <col min="9" max="9" width="4.140625" bestFit="1" customWidth="1"/>
    <col min="10" max="10" width="12.140625" customWidth="1"/>
    <col min="11" max="12" width="9.140625" customWidth="1"/>
    <col min="13" max="13" width="36.85546875" bestFit="1" customWidth="1"/>
  </cols>
  <sheetData>
    <row r="2" spans="2:13" ht="15.75" thickBot="1" x14ac:dyDescent="0.3">
      <c r="B2" s="132" t="s">
        <v>845</v>
      </c>
      <c r="C2" s="133"/>
      <c r="D2" s="134"/>
      <c r="E2" s="134"/>
      <c r="F2" s="134"/>
      <c r="G2" s="134"/>
      <c r="H2" s="134"/>
      <c r="I2" s="134"/>
      <c r="J2" s="134"/>
      <c r="K2" s="13"/>
      <c r="L2" s="13"/>
      <c r="M2" s="3"/>
    </row>
    <row r="3" spans="2:13" ht="45" x14ac:dyDescent="0.25">
      <c r="B3" s="129" t="s">
        <v>846</v>
      </c>
      <c r="C3" s="129" t="s">
        <v>847</v>
      </c>
      <c r="D3" s="130" t="s">
        <v>848</v>
      </c>
      <c r="E3" s="131" t="s">
        <v>892</v>
      </c>
      <c r="F3" s="131" t="s">
        <v>1</v>
      </c>
      <c r="G3" s="131" t="s">
        <v>849</v>
      </c>
      <c r="H3" s="131" t="s">
        <v>850</v>
      </c>
      <c r="I3" s="131" t="s">
        <v>851</v>
      </c>
      <c r="J3" s="84" t="s">
        <v>894</v>
      </c>
      <c r="K3" s="84" t="s">
        <v>18</v>
      </c>
      <c r="L3" s="84" t="s">
        <v>19</v>
      </c>
      <c r="M3" s="84" t="s">
        <v>852</v>
      </c>
    </row>
    <row r="4" spans="2:13" ht="30" x14ac:dyDescent="0.25">
      <c r="B4" s="138"/>
      <c r="C4" s="139"/>
      <c r="D4" s="140"/>
      <c r="E4" s="141"/>
      <c r="F4" s="141"/>
      <c r="G4" s="141"/>
      <c r="H4" s="141"/>
      <c r="I4" s="141"/>
      <c r="J4" s="142" t="s">
        <v>893</v>
      </c>
      <c r="K4" s="142" t="s">
        <v>853</v>
      </c>
      <c r="L4" s="142" t="s">
        <v>853</v>
      </c>
      <c r="M4" s="142"/>
    </row>
    <row r="5" spans="2:13" x14ac:dyDescent="0.25">
      <c r="B5" s="135"/>
      <c r="C5" s="136" t="s">
        <v>854</v>
      </c>
      <c r="D5" s="137">
        <v>1</v>
      </c>
      <c r="E5" s="137" t="s">
        <v>82</v>
      </c>
      <c r="F5" s="137" t="s">
        <v>82</v>
      </c>
      <c r="G5" s="137" t="s">
        <v>855</v>
      </c>
      <c r="H5" s="137" t="s">
        <v>856</v>
      </c>
      <c r="I5" s="137">
        <v>7</v>
      </c>
      <c r="J5" s="87">
        <v>125197</v>
      </c>
      <c r="K5" s="124">
        <v>0</v>
      </c>
      <c r="L5" s="125">
        <v>4.54</v>
      </c>
    </row>
    <row r="6" spans="2:13" x14ac:dyDescent="0.25">
      <c r="B6" s="85" t="s">
        <v>857</v>
      </c>
      <c r="C6" s="95" t="s">
        <v>858</v>
      </c>
      <c r="D6" s="86">
        <v>1</v>
      </c>
      <c r="E6" s="86" t="s">
        <v>82</v>
      </c>
      <c r="F6" s="86" t="s">
        <v>82</v>
      </c>
      <c r="G6" s="86" t="s">
        <v>859</v>
      </c>
      <c r="H6" s="86" t="s">
        <v>859</v>
      </c>
      <c r="I6" s="86"/>
      <c r="J6" s="87">
        <v>110415</v>
      </c>
      <c r="K6" s="124">
        <v>0</v>
      </c>
      <c r="L6" s="125">
        <v>297.02999999999997</v>
      </c>
    </row>
    <row r="7" spans="2:13" x14ac:dyDescent="0.25">
      <c r="B7" s="88"/>
      <c r="C7" s="89"/>
      <c r="D7" s="90"/>
      <c r="E7" s="90"/>
      <c r="F7" s="90"/>
      <c r="G7" s="90"/>
      <c r="H7" s="90"/>
      <c r="I7" s="90"/>
      <c r="J7" s="91"/>
      <c r="K7" s="127"/>
      <c r="L7" s="92"/>
      <c r="M7" s="93"/>
    </row>
    <row r="8" spans="2:13" x14ac:dyDescent="0.25">
      <c r="B8" s="85" t="s">
        <v>860</v>
      </c>
      <c r="C8" s="95" t="s">
        <v>861</v>
      </c>
      <c r="D8" s="86">
        <v>13</v>
      </c>
      <c r="E8" s="86" t="s">
        <v>862</v>
      </c>
      <c r="F8" s="86" t="s">
        <v>82</v>
      </c>
      <c r="G8" s="86"/>
      <c r="H8" s="86"/>
      <c r="I8" s="86"/>
      <c r="J8" s="87">
        <v>903364</v>
      </c>
      <c r="K8" s="124">
        <v>0</v>
      </c>
      <c r="L8" s="125">
        <v>249.22</v>
      </c>
      <c r="M8" s="94"/>
    </row>
    <row r="9" spans="2:13" x14ac:dyDescent="0.25">
      <c r="B9" s="85" t="s">
        <v>863</v>
      </c>
      <c r="C9" s="95" t="s">
        <v>899</v>
      </c>
      <c r="D9" s="86">
        <v>13</v>
      </c>
      <c r="E9" s="86" t="s">
        <v>862</v>
      </c>
      <c r="F9" s="86" t="s">
        <v>82</v>
      </c>
      <c r="G9" s="86" t="s">
        <v>864</v>
      </c>
      <c r="H9" s="86" t="s">
        <v>856</v>
      </c>
      <c r="I9" s="96">
        <v>1</v>
      </c>
      <c r="J9" s="87"/>
      <c r="K9" s="124">
        <v>0</v>
      </c>
      <c r="L9" s="125">
        <v>1596.8130000000001</v>
      </c>
    </row>
    <row r="10" spans="2:13" x14ac:dyDescent="0.25">
      <c r="B10" s="88"/>
      <c r="C10" s="89"/>
      <c r="D10" s="90"/>
      <c r="E10" s="90"/>
      <c r="F10" s="90"/>
      <c r="G10" s="90"/>
      <c r="H10" s="90"/>
      <c r="I10" s="90"/>
      <c r="J10" s="97"/>
      <c r="K10" s="128"/>
      <c r="L10" s="121"/>
      <c r="M10" s="93"/>
    </row>
    <row r="11" spans="2:13" x14ac:dyDescent="0.25">
      <c r="B11" s="85"/>
      <c r="C11" s="95" t="s">
        <v>865</v>
      </c>
      <c r="D11" s="86">
        <v>23</v>
      </c>
      <c r="E11" s="83"/>
      <c r="F11" s="86" t="s">
        <v>82</v>
      </c>
      <c r="G11" s="86"/>
      <c r="H11" s="86"/>
      <c r="I11" s="86"/>
      <c r="J11" s="87">
        <v>12046</v>
      </c>
      <c r="K11" s="124">
        <v>0</v>
      </c>
      <c r="L11" s="125">
        <v>16.23</v>
      </c>
      <c r="M11" s="94"/>
    </row>
    <row r="12" spans="2:13" x14ac:dyDescent="0.25">
      <c r="B12" s="85"/>
      <c r="C12" s="95" t="s">
        <v>900</v>
      </c>
      <c r="D12" s="86">
        <v>23</v>
      </c>
      <c r="E12" s="83"/>
      <c r="F12" s="86" t="s">
        <v>82</v>
      </c>
      <c r="G12" s="86"/>
      <c r="H12" s="86"/>
      <c r="I12" s="86"/>
      <c r="J12" s="87">
        <v>129490</v>
      </c>
      <c r="K12" s="124">
        <v>0</v>
      </c>
      <c r="L12" s="125">
        <v>43.4</v>
      </c>
      <c r="M12" s="98"/>
    </row>
    <row r="13" spans="2:13" x14ac:dyDescent="0.25">
      <c r="B13" s="88"/>
      <c r="C13" s="89"/>
      <c r="D13" s="90"/>
      <c r="E13" s="90"/>
      <c r="F13" s="90"/>
      <c r="G13" s="90"/>
      <c r="H13" s="90"/>
      <c r="I13" s="90"/>
      <c r="J13" s="97"/>
      <c r="K13" s="128"/>
      <c r="L13" s="121"/>
      <c r="M13" s="93"/>
    </row>
    <row r="14" spans="2:13" x14ac:dyDescent="0.25">
      <c r="B14" s="85"/>
      <c r="C14" s="95" t="s">
        <v>866</v>
      </c>
      <c r="D14" s="86">
        <v>25</v>
      </c>
      <c r="E14" s="86" t="s">
        <v>867</v>
      </c>
      <c r="F14" s="86" t="s">
        <v>83</v>
      </c>
      <c r="G14" s="86"/>
      <c r="H14" s="86"/>
      <c r="I14" s="86"/>
      <c r="J14" s="87"/>
      <c r="K14" s="124">
        <v>0</v>
      </c>
      <c r="L14" s="125">
        <v>249.03</v>
      </c>
      <c r="M14" s="94"/>
    </row>
    <row r="15" spans="2:13" x14ac:dyDescent="0.25">
      <c r="B15" s="99" t="s">
        <v>868</v>
      </c>
      <c r="C15" s="100" t="s">
        <v>869</v>
      </c>
      <c r="D15" s="101">
        <v>25</v>
      </c>
      <c r="E15" s="101" t="s">
        <v>867</v>
      </c>
      <c r="F15" s="101" t="s">
        <v>83</v>
      </c>
      <c r="G15" s="101" t="s">
        <v>870</v>
      </c>
      <c r="H15" s="101" t="s">
        <v>871</v>
      </c>
      <c r="I15" s="101">
        <v>0</v>
      </c>
      <c r="J15" s="87">
        <v>29381</v>
      </c>
      <c r="K15" s="124">
        <v>0</v>
      </c>
      <c r="L15" s="125">
        <v>24960</v>
      </c>
      <c r="M15" s="102"/>
    </row>
    <row r="16" spans="2:13" x14ac:dyDescent="0.25">
      <c r="B16" s="103" t="s">
        <v>872</v>
      </c>
      <c r="C16" s="104" t="s">
        <v>873</v>
      </c>
      <c r="D16" s="105">
        <v>25</v>
      </c>
      <c r="E16" s="105" t="s">
        <v>867</v>
      </c>
      <c r="F16" s="105" t="s">
        <v>83</v>
      </c>
      <c r="G16" s="105" t="s">
        <v>874</v>
      </c>
      <c r="H16" s="105" t="s">
        <v>871</v>
      </c>
      <c r="I16" s="105">
        <v>0</v>
      </c>
      <c r="J16" s="87"/>
      <c r="K16" s="124">
        <v>0</v>
      </c>
      <c r="L16" s="125">
        <v>1577.46</v>
      </c>
      <c r="M16" s="98"/>
    </row>
    <row r="17" spans="2:13" x14ac:dyDescent="0.25">
      <c r="B17" s="85" t="s">
        <v>875</v>
      </c>
      <c r="C17" s="95" t="s">
        <v>876</v>
      </c>
      <c r="D17" s="86">
        <v>25</v>
      </c>
      <c r="E17" s="86" t="s">
        <v>867</v>
      </c>
      <c r="F17" s="86" t="s">
        <v>83</v>
      </c>
      <c r="G17" s="86" t="s">
        <v>877</v>
      </c>
      <c r="H17" s="86" t="s">
        <v>878</v>
      </c>
      <c r="I17" s="86">
        <v>25</v>
      </c>
      <c r="J17" s="87"/>
      <c r="K17" s="124">
        <v>0</v>
      </c>
      <c r="L17" s="125">
        <v>1468.59</v>
      </c>
    </row>
    <row r="18" spans="2:13" x14ac:dyDescent="0.25">
      <c r="B18" s="88"/>
      <c r="C18" s="106"/>
      <c r="D18" s="90"/>
      <c r="E18" s="90"/>
      <c r="F18" s="107"/>
      <c r="G18" s="90"/>
      <c r="H18" s="90"/>
      <c r="I18" s="90"/>
      <c r="J18" s="97"/>
      <c r="K18" s="128"/>
      <c r="L18" s="121"/>
      <c r="M18" s="108"/>
    </row>
    <row r="19" spans="2:13" x14ac:dyDescent="0.25">
      <c r="B19" s="85"/>
      <c r="C19" s="123" t="s">
        <v>879</v>
      </c>
      <c r="D19" s="86">
        <v>29</v>
      </c>
      <c r="E19" s="86"/>
      <c r="F19" s="109" t="s">
        <v>82</v>
      </c>
      <c r="G19" s="86"/>
      <c r="H19" s="86"/>
      <c r="I19" s="86"/>
      <c r="J19" s="87">
        <v>404335</v>
      </c>
      <c r="K19" s="124">
        <v>0</v>
      </c>
      <c r="L19" s="125">
        <v>254.72</v>
      </c>
      <c r="M19" s="94"/>
    </row>
    <row r="20" spans="2:13" x14ac:dyDescent="0.25">
      <c r="B20" s="110"/>
      <c r="C20" s="111"/>
      <c r="D20" s="112"/>
      <c r="E20" s="112"/>
      <c r="F20" s="107"/>
      <c r="G20" s="112"/>
      <c r="H20" s="112"/>
      <c r="I20" s="112"/>
      <c r="J20" s="97"/>
      <c r="K20" s="128"/>
      <c r="L20" s="121"/>
      <c r="M20" s="108"/>
    </row>
    <row r="21" spans="2:13" x14ac:dyDescent="0.25">
      <c r="B21" s="85" t="s">
        <v>880</v>
      </c>
      <c r="C21" s="95" t="s">
        <v>901</v>
      </c>
      <c r="D21" s="86">
        <v>31</v>
      </c>
      <c r="E21" s="86" t="s">
        <v>881</v>
      </c>
      <c r="F21" s="86" t="s">
        <v>82</v>
      </c>
      <c r="G21" s="86" t="s">
        <v>859</v>
      </c>
      <c r="H21" s="86" t="s">
        <v>859</v>
      </c>
      <c r="I21" s="86">
        <v>0</v>
      </c>
      <c r="J21" s="87">
        <v>641360</v>
      </c>
      <c r="K21" s="126">
        <v>0</v>
      </c>
      <c r="L21" s="125">
        <v>2226.6309999999999</v>
      </c>
    </row>
    <row r="22" spans="2:13" x14ac:dyDescent="0.25">
      <c r="B22" s="88"/>
      <c r="C22" s="89"/>
      <c r="D22" s="90"/>
      <c r="E22" s="90"/>
      <c r="F22" s="90"/>
      <c r="G22" s="90"/>
      <c r="H22" s="90"/>
      <c r="I22" s="90"/>
      <c r="J22" s="97"/>
      <c r="K22" s="128"/>
      <c r="L22" s="121"/>
      <c r="M22" s="108"/>
    </row>
    <row r="23" spans="2:13" x14ac:dyDescent="0.25">
      <c r="B23" s="113"/>
      <c r="C23" s="95" t="s">
        <v>898</v>
      </c>
      <c r="D23" s="86">
        <v>41</v>
      </c>
      <c r="E23" s="86" t="s">
        <v>882</v>
      </c>
      <c r="F23" s="86" t="s">
        <v>83</v>
      </c>
      <c r="G23" s="86" t="s">
        <v>883</v>
      </c>
      <c r="H23" s="86" t="s">
        <v>878</v>
      </c>
      <c r="I23" s="86">
        <v>21</v>
      </c>
      <c r="J23" s="87"/>
      <c r="K23" s="124">
        <v>0</v>
      </c>
      <c r="L23" s="124">
        <v>0</v>
      </c>
      <c r="M23" s="102"/>
    </row>
    <row r="24" spans="2:13" x14ac:dyDescent="0.25">
      <c r="B24" s="114"/>
      <c r="C24" s="115"/>
      <c r="D24" s="112"/>
      <c r="E24" s="112"/>
      <c r="F24" s="112"/>
      <c r="G24" s="112"/>
      <c r="H24" s="112"/>
      <c r="I24" s="112"/>
      <c r="J24" s="97"/>
      <c r="K24" s="121"/>
      <c r="L24" s="121"/>
      <c r="M24" s="108"/>
    </row>
    <row r="25" spans="2:13" x14ac:dyDescent="0.25">
      <c r="B25" s="113"/>
      <c r="C25" s="95" t="s">
        <v>895</v>
      </c>
      <c r="D25" s="86">
        <v>45</v>
      </c>
      <c r="E25" s="86"/>
      <c r="F25" s="86" t="s">
        <v>84</v>
      </c>
      <c r="G25" s="86"/>
      <c r="H25" s="86"/>
      <c r="I25" s="86"/>
      <c r="J25" s="87"/>
      <c r="K25" s="125">
        <v>0</v>
      </c>
      <c r="L25" s="124">
        <v>0</v>
      </c>
      <c r="M25" s="98" t="s">
        <v>890</v>
      </c>
    </row>
    <row r="26" spans="2:13" x14ac:dyDescent="0.25">
      <c r="B26" s="113"/>
      <c r="C26" s="95" t="s">
        <v>896</v>
      </c>
      <c r="D26" s="86">
        <v>45</v>
      </c>
      <c r="E26" s="86"/>
      <c r="F26" s="86" t="s">
        <v>84</v>
      </c>
      <c r="G26" s="86"/>
      <c r="H26" s="86"/>
      <c r="I26" s="86"/>
      <c r="J26" s="87"/>
      <c r="K26" s="125">
        <v>0</v>
      </c>
      <c r="L26" s="124">
        <v>0</v>
      </c>
      <c r="M26" s="98" t="s">
        <v>891</v>
      </c>
    </row>
    <row r="27" spans="2:13" x14ac:dyDescent="0.25">
      <c r="B27" s="85" t="s">
        <v>884</v>
      </c>
      <c r="C27" s="95" t="s">
        <v>897</v>
      </c>
      <c r="D27" s="86">
        <v>45</v>
      </c>
      <c r="E27" s="86"/>
      <c r="F27" s="86" t="s">
        <v>84</v>
      </c>
      <c r="G27" s="86"/>
      <c r="H27" s="86"/>
      <c r="I27" s="86"/>
      <c r="J27" s="87">
        <v>3092725</v>
      </c>
      <c r="K27" s="125">
        <v>12096.81</v>
      </c>
      <c r="L27" s="124">
        <v>0</v>
      </c>
      <c r="M27" s="98"/>
    </row>
    <row r="28" spans="2:13" x14ac:dyDescent="0.25">
      <c r="B28" s="85"/>
      <c r="C28" s="95" t="s">
        <v>885</v>
      </c>
      <c r="D28" s="86">
        <v>45</v>
      </c>
      <c r="E28" s="86"/>
      <c r="F28" s="86" t="s">
        <v>84</v>
      </c>
      <c r="G28" s="86"/>
      <c r="H28" s="86"/>
      <c r="I28" s="86"/>
      <c r="J28" s="87">
        <v>952995</v>
      </c>
      <c r="K28" s="125">
        <v>20377.18</v>
      </c>
      <c r="L28" s="124">
        <v>0</v>
      </c>
      <c r="M28" s="98"/>
    </row>
    <row r="29" spans="2:13" x14ac:dyDescent="0.25">
      <c r="B29" s="88"/>
      <c r="C29" s="89"/>
      <c r="D29" s="90"/>
      <c r="E29" s="90"/>
      <c r="F29" s="90"/>
      <c r="G29" s="90"/>
      <c r="H29" s="90"/>
      <c r="I29" s="90"/>
      <c r="J29" s="97"/>
      <c r="K29" s="121"/>
      <c r="L29" s="121"/>
      <c r="M29" s="122"/>
    </row>
    <row r="30" spans="2:13" x14ac:dyDescent="0.25">
      <c r="B30" s="116"/>
      <c r="C30" s="123" t="s">
        <v>886</v>
      </c>
      <c r="D30" s="117">
        <v>61</v>
      </c>
      <c r="E30" s="117"/>
      <c r="F30" s="117" t="s">
        <v>82</v>
      </c>
      <c r="G30" s="117"/>
      <c r="H30" s="117"/>
      <c r="I30" s="117"/>
      <c r="J30" s="87">
        <v>19484</v>
      </c>
      <c r="K30" s="124">
        <v>0</v>
      </c>
      <c r="L30" s="125">
        <v>2.19</v>
      </c>
      <c r="M30" s="98"/>
    </row>
    <row r="31" spans="2:13" x14ac:dyDescent="0.25">
      <c r="C31" s="82" t="s">
        <v>887</v>
      </c>
      <c r="D31" s="83">
        <v>61</v>
      </c>
      <c r="E31" s="83"/>
      <c r="F31" s="83" t="s">
        <v>82</v>
      </c>
      <c r="G31" s="83"/>
      <c r="H31" s="83"/>
      <c r="I31" s="83"/>
      <c r="J31" s="87">
        <v>71785</v>
      </c>
      <c r="K31" s="124">
        <v>0</v>
      </c>
      <c r="L31" s="125">
        <v>0</v>
      </c>
      <c r="M31" s="98" t="s">
        <v>888</v>
      </c>
    </row>
    <row r="32" spans="2:13" x14ac:dyDescent="0.25">
      <c r="B32" s="118"/>
      <c r="C32" s="119"/>
      <c r="D32" s="120"/>
      <c r="E32" s="120"/>
      <c r="F32" s="120"/>
      <c r="G32" s="120"/>
      <c r="H32" s="120"/>
      <c r="I32" s="120"/>
      <c r="J32" s="97"/>
      <c r="K32" s="121"/>
      <c r="L32" s="118"/>
      <c r="M32" s="118"/>
    </row>
    <row r="33" spans="2:12" x14ac:dyDescent="0.25">
      <c r="C33" s="82" t="s">
        <v>889</v>
      </c>
      <c r="D33" s="83"/>
      <c r="E33" s="83"/>
      <c r="F33" s="83"/>
      <c r="G33" s="83"/>
      <c r="H33" s="83"/>
      <c r="I33" s="83"/>
      <c r="J33" s="87"/>
      <c r="K33" s="125">
        <f>SUM(K5:K31)</f>
        <v>32473.989999999998</v>
      </c>
      <c r="L33" s="125">
        <f>SUM(L5:L31)</f>
        <v>32945.853999999999</v>
      </c>
    </row>
    <row r="36" spans="2:12" x14ac:dyDescent="0.25">
      <c r="B36" t="s">
        <v>33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78F62-A984-4838-A882-DDB46C62FEF1}">
  <dimension ref="B2:F30"/>
  <sheetViews>
    <sheetView workbookViewId="0"/>
  </sheetViews>
  <sheetFormatPr defaultRowHeight="15" x14ac:dyDescent="0.25"/>
  <cols>
    <col min="2" max="2" width="27.28515625" customWidth="1"/>
    <col min="3" max="3" width="11.5703125" bestFit="1" customWidth="1"/>
    <col min="5" max="5" width="15.42578125" bestFit="1" customWidth="1"/>
    <col min="6" max="6" width="10.28515625" customWidth="1"/>
  </cols>
  <sheetData>
    <row r="2" spans="2:6" ht="28.9" customHeight="1" thickBot="1" x14ac:dyDescent="0.3">
      <c r="B2" s="155" t="s">
        <v>976</v>
      </c>
      <c r="C2" s="155"/>
      <c r="D2" s="155"/>
      <c r="E2" s="155"/>
      <c r="F2" s="155"/>
    </row>
    <row r="3" spans="2:6" x14ac:dyDescent="0.25">
      <c r="B3" s="75" t="s">
        <v>817</v>
      </c>
      <c r="C3" s="75" t="s">
        <v>41</v>
      </c>
      <c r="D3" s="81" t="s">
        <v>78</v>
      </c>
      <c r="E3" s="77" t="s">
        <v>844</v>
      </c>
      <c r="F3" s="77"/>
    </row>
    <row r="4" spans="2:6" x14ac:dyDescent="0.25">
      <c r="B4" t="s">
        <v>818</v>
      </c>
      <c r="C4" t="s">
        <v>67</v>
      </c>
      <c r="D4" s="11" t="s">
        <v>84</v>
      </c>
      <c r="E4" s="6">
        <v>26095</v>
      </c>
      <c r="F4" s="6"/>
    </row>
    <row r="5" spans="2:6" x14ac:dyDescent="0.25">
      <c r="B5" t="s">
        <v>819</v>
      </c>
      <c r="C5" t="s">
        <v>70</v>
      </c>
      <c r="D5" s="11" t="s">
        <v>82</v>
      </c>
      <c r="E5" s="6">
        <v>79669.194284130004</v>
      </c>
      <c r="F5" s="6"/>
    </row>
    <row r="6" spans="2:6" x14ac:dyDescent="0.25">
      <c r="B6" t="s">
        <v>820</v>
      </c>
      <c r="C6" t="s">
        <v>70</v>
      </c>
      <c r="D6" s="11" t="s">
        <v>82</v>
      </c>
      <c r="E6" s="6">
        <v>29665.743098629984</v>
      </c>
      <c r="F6" s="6"/>
    </row>
    <row r="7" spans="2:6" x14ac:dyDescent="0.25">
      <c r="B7" t="s">
        <v>821</v>
      </c>
      <c r="C7" t="s">
        <v>64</v>
      </c>
      <c r="D7" s="11" t="s">
        <v>82</v>
      </c>
      <c r="E7" s="6">
        <v>12094</v>
      </c>
      <c r="F7" s="6"/>
    </row>
    <row r="8" spans="2:6" x14ac:dyDescent="0.25">
      <c r="B8" t="s">
        <v>822</v>
      </c>
      <c r="C8" t="s">
        <v>66</v>
      </c>
      <c r="D8" s="80" t="s">
        <v>82</v>
      </c>
      <c r="E8" s="6">
        <v>5554</v>
      </c>
      <c r="F8" s="6"/>
    </row>
    <row r="9" spans="2:6" x14ac:dyDescent="0.25">
      <c r="B9" t="s">
        <v>823</v>
      </c>
      <c r="C9" t="s">
        <v>68</v>
      </c>
      <c r="D9" s="11" t="s">
        <v>79</v>
      </c>
      <c r="E9" s="6">
        <v>24200</v>
      </c>
      <c r="F9" s="6"/>
    </row>
    <row r="10" spans="2:6" x14ac:dyDescent="0.25">
      <c r="B10" t="s">
        <v>824</v>
      </c>
      <c r="C10" t="s">
        <v>66</v>
      </c>
      <c r="D10" s="11" t="s">
        <v>82</v>
      </c>
      <c r="E10" s="6">
        <v>3</v>
      </c>
      <c r="F10" s="6"/>
    </row>
    <row r="11" spans="2:6" x14ac:dyDescent="0.25">
      <c r="B11" t="s">
        <v>825</v>
      </c>
      <c r="C11" t="s">
        <v>53</v>
      </c>
      <c r="D11" s="11" t="s">
        <v>81</v>
      </c>
      <c r="E11" s="6">
        <v>7011</v>
      </c>
      <c r="F11" s="6"/>
    </row>
    <row r="12" spans="2:6" x14ac:dyDescent="0.25">
      <c r="B12" t="s">
        <v>826</v>
      </c>
      <c r="C12" t="s">
        <v>51</v>
      </c>
      <c r="D12" s="11" t="s">
        <v>81</v>
      </c>
      <c r="E12" s="6">
        <v>17135.382456773754</v>
      </c>
      <c r="F12" s="6"/>
    </row>
    <row r="13" spans="2:6" x14ac:dyDescent="0.25">
      <c r="B13" t="s">
        <v>827</v>
      </c>
      <c r="C13" t="s">
        <v>64</v>
      </c>
      <c r="D13" s="11" t="s">
        <v>82</v>
      </c>
      <c r="E13" s="6">
        <v>8980.5799999999981</v>
      </c>
      <c r="F13" s="6"/>
    </row>
    <row r="14" spans="2:6" x14ac:dyDescent="0.25">
      <c r="B14" t="s">
        <v>828</v>
      </c>
      <c r="C14" t="s">
        <v>64</v>
      </c>
      <c r="D14" s="11" t="s">
        <v>82</v>
      </c>
      <c r="E14" s="6">
        <v>4815.8800000000056</v>
      </c>
      <c r="F14" s="6"/>
    </row>
    <row r="15" spans="2:6" x14ac:dyDescent="0.25">
      <c r="B15" t="s">
        <v>829</v>
      </c>
      <c r="C15" t="s">
        <v>67</v>
      </c>
      <c r="D15" s="11" t="s">
        <v>84</v>
      </c>
      <c r="E15" s="6">
        <v>1078.6534838897851</v>
      </c>
      <c r="F15" s="6"/>
    </row>
    <row r="16" spans="2:6" x14ac:dyDescent="0.25">
      <c r="B16" t="s">
        <v>830</v>
      </c>
      <c r="C16" t="s">
        <v>72</v>
      </c>
      <c r="D16" s="11" t="s">
        <v>82</v>
      </c>
      <c r="E16" s="6">
        <v>441.88951824166668</v>
      </c>
      <c r="F16" s="6"/>
    </row>
    <row r="17" spans="2:6" x14ac:dyDescent="0.25">
      <c r="B17" t="s">
        <v>831</v>
      </c>
      <c r="C17" t="s">
        <v>47</v>
      </c>
      <c r="D17" s="11" t="s">
        <v>79</v>
      </c>
      <c r="E17" s="6">
        <v>415.64108723768493</v>
      </c>
      <c r="F17" s="6"/>
    </row>
    <row r="18" spans="2:6" x14ac:dyDescent="0.25">
      <c r="B18" t="s">
        <v>832</v>
      </c>
      <c r="C18" t="s">
        <v>63</v>
      </c>
      <c r="D18" s="11" t="s">
        <v>79</v>
      </c>
      <c r="E18" s="6">
        <v>32527.474999999995</v>
      </c>
      <c r="F18" s="6"/>
    </row>
    <row r="19" spans="2:6" x14ac:dyDescent="0.25">
      <c r="B19" t="s">
        <v>833</v>
      </c>
      <c r="C19" t="s">
        <v>51</v>
      </c>
      <c r="D19" s="11" t="s">
        <v>81</v>
      </c>
      <c r="E19" s="6">
        <v>3995.4194264068092</v>
      </c>
      <c r="F19" s="6"/>
    </row>
    <row r="20" spans="2:6" x14ac:dyDescent="0.25">
      <c r="B20" t="s">
        <v>834</v>
      </c>
      <c r="C20" t="s">
        <v>49</v>
      </c>
      <c r="D20" s="11" t="s">
        <v>81</v>
      </c>
      <c r="E20" s="6">
        <v>7727.1394999999993</v>
      </c>
      <c r="F20" s="6"/>
    </row>
    <row r="21" spans="2:6" x14ac:dyDescent="0.25">
      <c r="B21" t="s">
        <v>835</v>
      </c>
      <c r="C21" t="s">
        <v>47</v>
      </c>
      <c r="D21" s="11" t="s">
        <v>79</v>
      </c>
      <c r="E21" s="6">
        <v>7139.2487499999997</v>
      </c>
      <c r="F21" s="6"/>
    </row>
    <row r="22" spans="2:6" x14ac:dyDescent="0.25">
      <c r="B22" t="s">
        <v>836</v>
      </c>
      <c r="C22" t="s">
        <v>46</v>
      </c>
      <c r="D22" s="11" t="s">
        <v>82</v>
      </c>
      <c r="E22" s="6">
        <v>1463.0833916666666</v>
      </c>
      <c r="F22" s="6"/>
    </row>
    <row r="23" spans="2:6" x14ac:dyDescent="0.25">
      <c r="B23" t="s">
        <v>837</v>
      </c>
      <c r="C23" t="s">
        <v>68</v>
      </c>
      <c r="D23" s="11" t="s">
        <v>79</v>
      </c>
      <c r="E23" s="6">
        <v>3201.875</v>
      </c>
      <c r="F23" s="6"/>
    </row>
    <row r="24" spans="2:6" x14ac:dyDescent="0.25">
      <c r="B24" t="s">
        <v>838</v>
      </c>
      <c r="C24" t="s">
        <v>68</v>
      </c>
      <c r="D24" s="11" t="s">
        <v>81</v>
      </c>
      <c r="E24" s="6">
        <v>3759.7357499999998</v>
      </c>
      <c r="F24" s="6"/>
    </row>
    <row r="25" spans="2:6" x14ac:dyDescent="0.25">
      <c r="B25" t="s">
        <v>839</v>
      </c>
      <c r="C25" t="s">
        <v>47</v>
      </c>
      <c r="D25" s="11" t="s">
        <v>79</v>
      </c>
      <c r="E25" s="6">
        <v>1481.5283333333327</v>
      </c>
      <c r="F25" s="6"/>
    </row>
    <row r="26" spans="2:6" x14ac:dyDescent="0.25">
      <c r="B26" t="s">
        <v>840</v>
      </c>
      <c r="C26" t="s">
        <v>74</v>
      </c>
      <c r="D26" s="11" t="s">
        <v>79</v>
      </c>
      <c r="E26" s="6">
        <v>257.78258333333338</v>
      </c>
      <c r="F26" s="6"/>
    </row>
    <row r="27" spans="2:6" x14ac:dyDescent="0.25">
      <c r="B27" t="s">
        <v>841</v>
      </c>
      <c r="C27" t="s">
        <v>71</v>
      </c>
      <c r="D27" s="11" t="s">
        <v>82</v>
      </c>
      <c r="E27" s="6">
        <v>2357.2850000000003</v>
      </c>
      <c r="F27" s="6"/>
    </row>
    <row r="28" spans="2:6" x14ac:dyDescent="0.25">
      <c r="B28" t="s">
        <v>842</v>
      </c>
      <c r="C28" t="s">
        <v>47</v>
      </c>
      <c r="D28" s="11" t="s">
        <v>79</v>
      </c>
      <c r="E28" s="6">
        <v>598.77083333333326</v>
      </c>
      <c r="F28" s="6"/>
    </row>
    <row r="29" spans="2:6" x14ac:dyDescent="0.25">
      <c r="B29" t="s">
        <v>843</v>
      </c>
      <c r="C29" t="s">
        <v>47</v>
      </c>
      <c r="D29" s="11" t="s">
        <v>79</v>
      </c>
      <c r="E29" s="30">
        <v>852.7791666666667</v>
      </c>
      <c r="F29" s="6"/>
    </row>
    <row r="30" spans="2:6" x14ac:dyDescent="0.25">
      <c r="C30" s="6"/>
      <c r="E30" s="6">
        <v>282522.08666364296</v>
      </c>
      <c r="F30" s="6"/>
    </row>
  </sheetData>
  <mergeCells count="1">
    <mergeCell ref="B2:F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7DF56-F7D2-44D8-AB1F-0CC6703EC572}">
  <dimension ref="B2:AI38"/>
  <sheetViews>
    <sheetView workbookViewId="0">
      <pane xSplit="2" topLeftCell="C1" activePane="topRight" state="frozen"/>
      <selection pane="topRight" activeCell="C1" sqref="C1"/>
    </sheetView>
  </sheetViews>
  <sheetFormatPr defaultRowHeight="15" x14ac:dyDescent="0.25"/>
  <cols>
    <col min="1" max="1" width="6.85546875" customWidth="1"/>
    <col min="2" max="2" width="21.42578125" customWidth="1"/>
    <col min="3" max="35" width="10.85546875" customWidth="1"/>
  </cols>
  <sheetData>
    <row r="2" spans="2:35" x14ac:dyDescent="0.25">
      <c r="B2" s="1" t="s">
        <v>902</v>
      </c>
    </row>
    <row r="3" spans="2:35" s="145" customFormat="1" x14ac:dyDescent="0.25">
      <c r="B3" s="144" t="s">
        <v>903</v>
      </c>
      <c r="C3" s="143" t="s">
        <v>43</v>
      </c>
      <c r="D3" s="143" t="s">
        <v>44</v>
      </c>
      <c r="E3" s="143" t="s">
        <v>45</v>
      </c>
      <c r="F3" s="143" t="s">
        <v>46</v>
      </c>
      <c r="G3" s="143" t="s">
        <v>47</v>
      </c>
      <c r="H3" s="143" t="s">
        <v>48</v>
      </c>
      <c r="I3" s="143" t="s">
        <v>49</v>
      </c>
      <c r="J3" s="143" t="s">
        <v>120</v>
      </c>
      <c r="K3" s="143" t="s">
        <v>51</v>
      </c>
      <c r="L3" s="143" t="s">
        <v>52</v>
      </c>
      <c r="M3" s="143" t="s">
        <v>53</v>
      </c>
      <c r="N3" s="143" t="s">
        <v>54</v>
      </c>
      <c r="O3" s="143" t="s">
        <v>55</v>
      </c>
      <c r="P3" s="143" t="s">
        <v>56</v>
      </c>
      <c r="Q3" s="143" t="s">
        <v>57</v>
      </c>
      <c r="R3" s="143" t="s">
        <v>59</v>
      </c>
      <c r="S3" s="143" t="s">
        <v>60</v>
      </c>
      <c r="T3" s="143" t="s">
        <v>61</v>
      </c>
      <c r="U3" s="143" t="s">
        <v>62</v>
      </c>
      <c r="V3" s="143" t="s">
        <v>63</v>
      </c>
      <c r="W3" s="143" t="s">
        <v>64</v>
      </c>
      <c r="X3" s="143" t="s">
        <v>65</v>
      </c>
      <c r="Y3" s="143" t="s">
        <v>66</v>
      </c>
      <c r="Z3" s="143" t="s">
        <v>67</v>
      </c>
      <c r="AA3" s="143" t="s">
        <v>68</v>
      </c>
      <c r="AB3" s="143" t="s">
        <v>69</v>
      </c>
      <c r="AC3" s="143" t="s">
        <v>70</v>
      </c>
      <c r="AD3" s="143" t="s">
        <v>71</v>
      </c>
      <c r="AE3" s="143" t="s">
        <v>72</v>
      </c>
      <c r="AF3" s="143" t="s">
        <v>73</v>
      </c>
      <c r="AG3" s="143" t="s">
        <v>74</v>
      </c>
      <c r="AH3" s="143" t="s">
        <v>75</v>
      </c>
      <c r="AI3" s="148" t="s">
        <v>205</v>
      </c>
    </row>
    <row r="4" spans="2:35" x14ac:dyDescent="0.25">
      <c r="B4" t="s">
        <v>904</v>
      </c>
      <c r="C4" s="6">
        <v>0</v>
      </c>
      <c r="D4" s="6">
        <v>0</v>
      </c>
      <c r="E4" s="6">
        <v>0</v>
      </c>
      <c r="F4" s="6">
        <v>2</v>
      </c>
      <c r="G4" s="6">
        <v>0</v>
      </c>
      <c r="H4" s="6">
        <v>5070</v>
      </c>
      <c r="I4" s="6">
        <v>0</v>
      </c>
      <c r="J4" s="6">
        <v>0</v>
      </c>
      <c r="K4" s="6">
        <v>0</v>
      </c>
      <c r="L4" s="6">
        <v>5</v>
      </c>
      <c r="M4" s="6">
        <v>0</v>
      </c>
      <c r="N4" s="6">
        <v>30</v>
      </c>
      <c r="O4" s="6">
        <v>0</v>
      </c>
      <c r="P4" s="6">
        <v>248</v>
      </c>
      <c r="Q4" s="6">
        <v>0</v>
      </c>
      <c r="R4" s="6">
        <v>236</v>
      </c>
      <c r="S4" s="6">
        <v>0</v>
      </c>
      <c r="T4" s="6">
        <v>0</v>
      </c>
      <c r="U4" s="6">
        <v>0</v>
      </c>
      <c r="V4" s="6">
        <v>0</v>
      </c>
      <c r="W4" s="6">
        <v>0</v>
      </c>
      <c r="X4" s="6">
        <v>2300</v>
      </c>
      <c r="Y4" s="6">
        <v>0</v>
      </c>
      <c r="Z4" s="6">
        <v>20563.364132826973</v>
      </c>
      <c r="AA4" s="6">
        <v>0</v>
      </c>
      <c r="AB4" s="6">
        <v>0</v>
      </c>
      <c r="AC4" s="6">
        <v>0</v>
      </c>
      <c r="AD4" s="6">
        <v>0</v>
      </c>
      <c r="AE4" s="6">
        <v>0</v>
      </c>
      <c r="AF4" s="6">
        <v>0</v>
      </c>
      <c r="AG4" s="6">
        <v>13938.816553025739</v>
      </c>
      <c r="AH4" s="6">
        <v>0</v>
      </c>
      <c r="AI4" s="146">
        <v>42393.180685852712</v>
      </c>
    </row>
    <row r="5" spans="2:35" x14ac:dyDescent="0.25">
      <c r="B5" t="s">
        <v>905</v>
      </c>
      <c r="C5" s="6">
        <v>61.239286191060003</v>
      </c>
      <c r="D5" s="6">
        <v>0</v>
      </c>
      <c r="E5" s="6">
        <v>20824</v>
      </c>
      <c r="F5" s="6">
        <v>0</v>
      </c>
      <c r="G5" s="6">
        <v>0</v>
      </c>
      <c r="H5" s="6">
        <v>19100</v>
      </c>
      <c r="I5" s="6">
        <v>118</v>
      </c>
      <c r="J5" s="6">
        <v>0</v>
      </c>
      <c r="K5" s="6">
        <v>4281</v>
      </c>
      <c r="L5" s="6">
        <v>7</v>
      </c>
      <c r="M5" s="6">
        <v>0</v>
      </c>
      <c r="N5" s="6">
        <v>0</v>
      </c>
      <c r="O5" s="6">
        <v>4374</v>
      </c>
      <c r="P5" s="6">
        <v>8163</v>
      </c>
      <c r="Q5" s="6">
        <v>0</v>
      </c>
      <c r="R5" s="6">
        <v>1314</v>
      </c>
      <c r="S5" s="6">
        <v>0</v>
      </c>
      <c r="T5" s="6">
        <v>0</v>
      </c>
      <c r="U5" s="6">
        <v>0</v>
      </c>
      <c r="V5" s="6">
        <v>1509</v>
      </c>
      <c r="W5" s="6">
        <v>0</v>
      </c>
      <c r="X5" s="6">
        <v>11004</v>
      </c>
      <c r="Y5" s="6">
        <v>34.305215315586004</v>
      </c>
      <c r="Z5" s="6">
        <v>739.79370670955723</v>
      </c>
      <c r="AA5" s="6">
        <v>0</v>
      </c>
      <c r="AB5" s="6">
        <v>4168</v>
      </c>
      <c r="AC5" s="6">
        <v>177</v>
      </c>
      <c r="AD5" s="6">
        <v>1570.3383887760699</v>
      </c>
      <c r="AE5" s="6">
        <v>0</v>
      </c>
      <c r="AF5" s="6">
        <v>5895</v>
      </c>
      <c r="AG5" s="6">
        <v>0</v>
      </c>
      <c r="AH5" s="6">
        <v>1186.9988368490299</v>
      </c>
      <c r="AI5" s="147">
        <v>84526.675433841316</v>
      </c>
    </row>
    <row r="6" spans="2:35" x14ac:dyDescent="0.25">
      <c r="B6" t="s">
        <v>906</v>
      </c>
      <c r="C6" s="6">
        <v>0</v>
      </c>
      <c r="D6" s="6">
        <v>0</v>
      </c>
      <c r="E6" s="6">
        <v>348</v>
      </c>
      <c r="F6" s="6">
        <v>0</v>
      </c>
      <c r="G6" s="6">
        <v>0</v>
      </c>
      <c r="H6" s="6">
        <v>2868</v>
      </c>
      <c r="I6" s="6">
        <v>70</v>
      </c>
      <c r="J6" s="6">
        <v>107</v>
      </c>
      <c r="K6" s="6">
        <v>0</v>
      </c>
      <c r="L6" s="6">
        <v>0</v>
      </c>
      <c r="M6" s="6">
        <v>0</v>
      </c>
      <c r="N6" s="6">
        <v>1831.4428550603</v>
      </c>
      <c r="O6" s="6">
        <v>0</v>
      </c>
      <c r="P6" s="6">
        <v>627</v>
      </c>
      <c r="Q6" s="6">
        <v>0</v>
      </c>
      <c r="R6" s="6">
        <v>670</v>
      </c>
      <c r="S6" s="6">
        <v>0</v>
      </c>
      <c r="T6" s="6">
        <v>0</v>
      </c>
      <c r="U6" s="6">
        <v>0</v>
      </c>
      <c r="V6" s="6">
        <v>0</v>
      </c>
      <c r="W6" s="6">
        <v>0</v>
      </c>
      <c r="X6" s="6">
        <v>1200</v>
      </c>
      <c r="Y6" s="6">
        <v>0</v>
      </c>
      <c r="Z6" s="6">
        <v>21.635932916126624</v>
      </c>
      <c r="AA6" s="6">
        <v>0</v>
      </c>
      <c r="AB6" s="6">
        <v>0</v>
      </c>
      <c r="AC6" s="6">
        <v>38</v>
      </c>
      <c r="AD6" s="6">
        <v>0</v>
      </c>
      <c r="AE6" s="6">
        <v>0</v>
      </c>
      <c r="AF6" s="6">
        <v>0</v>
      </c>
      <c r="AG6" s="6">
        <v>4082.6451294210001</v>
      </c>
      <c r="AH6" s="6">
        <v>0</v>
      </c>
      <c r="AI6" s="147">
        <v>11863.723917397427</v>
      </c>
    </row>
    <row r="7" spans="2:35" x14ac:dyDescent="0.25">
      <c r="B7" t="s">
        <v>907</v>
      </c>
      <c r="C7" s="6">
        <v>0</v>
      </c>
      <c r="D7" s="6">
        <v>0</v>
      </c>
      <c r="E7" s="6">
        <v>2906</v>
      </c>
      <c r="F7" s="6">
        <v>0</v>
      </c>
      <c r="G7" s="6">
        <v>290</v>
      </c>
      <c r="H7" s="6">
        <v>12733</v>
      </c>
      <c r="I7" s="6">
        <v>661</v>
      </c>
      <c r="J7" s="6">
        <v>7817</v>
      </c>
      <c r="K7" s="6">
        <v>356</v>
      </c>
      <c r="L7" s="6">
        <v>7</v>
      </c>
      <c r="M7" s="6">
        <v>52</v>
      </c>
      <c r="N7" s="6">
        <v>0</v>
      </c>
      <c r="O7" s="6">
        <v>20</v>
      </c>
      <c r="P7" s="6">
        <v>1308</v>
      </c>
      <c r="Q7" s="6">
        <v>0</v>
      </c>
      <c r="R7" s="6">
        <v>189</v>
      </c>
      <c r="S7" s="6">
        <v>0</v>
      </c>
      <c r="T7" s="6">
        <v>0</v>
      </c>
      <c r="U7" s="6">
        <v>0</v>
      </c>
      <c r="V7" s="6">
        <v>4800</v>
      </c>
      <c r="W7" s="6">
        <v>0</v>
      </c>
      <c r="X7" s="6">
        <v>6125</v>
      </c>
      <c r="Y7" s="6">
        <v>0</v>
      </c>
      <c r="Z7" s="6">
        <v>1758.933723132247</v>
      </c>
      <c r="AA7" s="6">
        <v>0</v>
      </c>
      <c r="AB7" s="6">
        <v>0</v>
      </c>
      <c r="AC7" s="6">
        <v>638</v>
      </c>
      <c r="AD7" s="6">
        <v>0</v>
      </c>
      <c r="AE7" s="6">
        <v>0</v>
      </c>
      <c r="AF7" s="6">
        <v>233</v>
      </c>
      <c r="AG7" s="6">
        <v>1150</v>
      </c>
      <c r="AH7" s="6">
        <v>0</v>
      </c>
      <c r="AI7" s="147">
        <v>41043.93372313225</v>
      </c>
    </row>
    <row r="8" spans="2:35" x14ac:dyDescent="0.25">
      <c r="B8" t="s">
        <v>908</v>
      </c>
      <c r="C8" s="6">
        <v>0</v>
      </c>
      <c r="D8" s="6">
        <v>0</v>
      </c>
      <c r="E8" s="6">
        <v>5767</v>
      </c>
      <c r="F8" s="6">
        <v>0</v>
      </c>
      <c r="G8" s="6">
        <v>0</v>
      </c>
      <c r="H8" s="6">
        <v>84</v>
      </c>
      <c r="I8" s="6">
        <v>0</v>
      </c>
      <c r="J8" s="6">
        <v>31</v>
      </c>
      <c r="K8" s="6">
        <v>1819</v>
      </c>
      <c r="L8" s="6">
        <v>0</v>
      </c>
      <c r="M8" s="6">
        <v>0</v>
      </c>
      <c r="N8" s="6">
        <v>0</v>
      </c>
      <c r="O8" s="6">
        <v>0</v>
      </c>
      <c r="P8" s="6">
        <v>1375</v>
      </c>
      <c r="Q8" s="6">
        <v>0</v>
      </c>
      <c r="R8" s="6">
        <v>33</v>
      </c>
      <c r="S8" s="6">
        <v>0</v>
      </c>
      <c r="T8" s="6">
        <v>0</v>
      </c>
      <c r="U8" s="6">
        <v>13</v>
      </c>
      <c r="V8" s="6">
        <v>0</v>
      </c>
      <c r="W8" s="6">
        <v>0</v>
      </c>
      <c r="X8" s="6">
        <v>760</v>
      </c>
      <c r="Y8" s="6">
        <v>0</v>
      </c>
      <c r="Z8" s="6">
        <v>0</v>
      </c>
      <c r="AA8" s="6">
        <v>0</v>
      </c>
      <c r="AB8" s="6">
        <v>0</v>
      </c>
      <c r="AC8" s="6">
        <v>28</v>
      </c>
      <c r="AD8" s="6">
        <v>0</v>
      </c>
      <c r="AE8" s="6">
        <v>0</v>
      </c>
      <c r="AF8" s="6">
        <v>108</v>
      </c>
      <c r="AG8" s="6">
        <v>0</v>
      </c>
      <c r="AH8" s="6">
        <v>0</v>
      </c>
      <c r="AI8" s="147">
        <v>10018</v>
      </c>
    </row>
    <row r="9" spans="2:35" x14ac:dyDescent="0.25">
      <c r="B9" t="s">
        <v>909</v>
      </c>
      <c r="C9" s="6">
        <v>0</v>
      </c>
      <c r="D9" s="6">
        <v>0</v>
      </c>
      <c r="E9" s="6">
        <v>0</v>
      </c>
      <c r="F9" s="6">
        <v>8</v>
      </c>
      <c r="G9" s="6">
        <v>0</v>
      </c>
      <c r="H9" s="6">
        <v>176</v>
      </c>
      <c r="I9" s="6">
        <v>0</v>
      </c>
      <c r="J9" s="6">
        <v>0</v>
      </c>
      <c r="K9" s="6">
        <v>176</v>
      </c>
      <c r="L9" s="6">
        <v>0</v>
      </c>
      <c r="M9" s="6">
        <v>0</v>
      </c>
      <c r="N9" s="6">
        <v>0</v>
      </c>
      <c r="O9" s="6">
        <v>0</v>
      </c>
      <c r="P9" s="6">
        <v>4560</v>
      </c>
      <c r="Q9" s="6">
        <v>0</v>
      </c>
      <c r="R9" s="6">
        <v>77</v>
      </c>
      <c r="S9" s="6">
        <v>0</v>
      </c>
      <c r="T9" s="6">
        <v>0</v>
      </c>
      <c r="U9" s="6">
        <v>0</v>
      </c>
      <c r="V9" s="6">
        <v>123</v>
      </c>
      <c r="W9" s="6">
        <v>0</v>
      </c>
      <c r="X9" s="6">
        <v>0</v>
      </c>
      <c r="Y9" s="6">
        <v>0</v>
      </c>
      <c r="Z9" s="6">
        <v>0</v>
      </c>
      <c r="AA9" s="6">
        <v>0</v>
      </c>
      <c r="AB9" s="6">
        <v>0</v>
      </c>
      <c r="AC9" s="6">
        <v>0</v>
      </c>
      <c r="AD9" s="6">
        <v>0</v>
      </c>
      <c r="AE9" s="6">
        <v>0</v>
      </c>
      <c r="AF9" s="6">
        <v>0</v>
      </c>
      <c r="AG9" s="6">
        <v>1424.8614042046001</v>
      </c>
      <c r="AH9" s="6">
        <v>0</v>
      </c>
      <c r="AI9" s="147">
        <v>6544.8614042046001</v>
      </c>
    </row>
    <row r="10" spans="2:35" x14ac:dyDescent="0.25">
      <c r="B10" t="s">
        <v>910</v>
      </c>
      <c r="C10" s="6">
        <v>0</v>
      </c>
      <c r="D10" s="6">
        <v>0</v>
      </c>
      <c r="E10" s="6">
        <v>17664</v>
      </c>
      <c r="F10" s="6">
        <v>81</v>
      </c>
      <c r="G10" s="6">
        <v>635</v>
      </c>
      <c r="H10" s="6">
        <v>69030</v>
      </c>
      <c r="I10" s="6">
        <v>1865</v>
      </c>
      <c r="J10" s="6">
        <v>1707</v>
      </c>
      <c r="K10" s="6">
        <v>2947</v>
      </c>
      <c r="L10" s="6">
        <v>0</v>
      </c>
      <c r="M10" s="6">
        <v>39</v>
      </c>
      <c r="N10" s="6">
        <v>42.271100242899998</v>
      </c>
      <c r="O10" s="6">
        <v>2379</v>
      </c>
      <c r="P10" s="6">
        <v>14889</v>
      </c>
      <c r="Q10" s="6">
        <v>2</v>
      </c>
      <c r="R10" s="6">
        <v>3299</v>
      </c>
      <c r="S10" s="6">
        <v>0</v>
      </c>
      <c r="T10" s="6">
        <v>414</v>
      </c>
      <c r="U10" s="6">
        <v>36</v>
      </c>
      <c r="V10" s="6">
        <v>10230</v>
      </c>
      <c r="W10" s="6">
        <v>3</v>
      </c>
      <c r="X10" s="6">
        <v>23303</v>
      </c>
      <c r="Y10" s="6">
        <v>0</v>
      </c>
      <c r="Z10" s="6">
        <v>6898.1</v>
      </c>
      <c r="AA10" s="6">
        <v>722</v>
      </c>
      <c r="AB10" s="6">
        <v>187</v>
      </c>
      <c r="AC10" s="6">
        <v>249</v>
      </c>
      <c r="AD10" s="6">
        <v>0</v>
      </c>
      <c r="AE10" s="6">
        <v>0</v>
      </c>
      <c r="AF10" s="6">
        <v>1557</v>
      </c>
      <c r="AG10" s="6">
        <v>25051.531146367899</v>
      </c>
      <c r="AH10" s="6">
        <v>0</v>
      </c>
      <c r="AI10" s="147">
        <v>183229.90224661081</v>
      </c>
    </row>
    <row r="11" spans="2:35" x14ac:dyDescent="0.25">
      <c r="B11" t="s">
        <v>911</v>
      </c>
      <c r="C11" s="6">
        <v>0</v>
      </c>
      <c r="D11" s="6">
        <v>0</v>
      </c>
      <c r="E11" s="6">
        <v>0</v>
      </c>
      <c r="F11" s="6">
        <v>0</v>
      </c>
      <c r="G11" s="6">
        <v>0</v>
      </c>
      <c r="H11" s="6">
        <v>0</v>
      </c>
      <c r="I11" s="6">
        <v>0</v>
      </c>
      <c r="J11" s="6">
        <v>0</v>
      </c>
      <c r="K11" s="6">
        <v>0</v>
      </c>
      <c r="L11" s="6">
        <v>0</v>
      </c>
      <c r="M11" s="6">
        <v>0</v>
      </c>
      <c r="N11" s="6">
        <v>0</v>
      </c>
      <c r="O11" s="6">
        <v>0</v>
      </c>
      <c r="P11" s="6">
        <v>0</v>
      </c>
      <c r="Q11" s="6">
        <v>0</v>
      </c>
      <c r="R11" s="6">
        <v>416</v>
      </c>
      <c r="S11" s="6">
        <v>0</v>
      </c>
      <c r="T11" s="6">
        <v>0</v>
      </c>
      <c r="U11" s="6">
        <v>0</v>
      </c>
      <c r="V11" s="6">
        <v>0</v>
      </c>
      <c r="W11" s="6">
        <v>0</v>
      </c>
      <c r="X11" s="6">
        <v>0</v>
      </c>
      <c r="Y11" s="6">
        <v>0</v>
      </c>
      <c r="Z11" s="6">
        <v>0</v>
      </c>
      <c r="AA11" s="6">
        <v>0</v>
      </c>
      <c r="AB11" s="6">
        <v>0</v>
      </c>
      <c r="AC11" s="6">
        <v>0</v>
      </c>
      <c r="AD11" s="6">
        <v>0</v>
      </c>
      <c r="AE11" s="6">
        <v>0</v>
      </c>
      <c r="AF11" s="6">
        <v>0</v>
      </c>
      <c r="AG11" s="6">
        <v>0</v>
      </c>
      <c r="AH11" s="6">
        <v>0</v>
      </c>
      <c r="AI11" s="147">
        <v>416</v>
      </c>
    </row>
    <row r="12" spans="2:35" x14ac:dyDescent="0.25">
      <c r="B12" t="s">
        <v>912</v>
      </c>
      <c r="C12" s="6">
        <v>2.9936917401029999</v>
      </c>
      <c r="D12" s="6">
        <v>44</v>
      </c>
      <c r="E12" s="6">
        <v>537</v>
      </c>
      <c r="F12" s="6">
        <v>0</v>
      </c>
      <c r="G12" s="6">
        <v>260</v>
      </c>
      <c r="H12" s="6">
        <v>3985</v>
      </c>
      <c r="I12" s="6">
        <v>0</v>
      </c>
      <c r="J12" s="6">
        <v>211</v>
      </c>
      <c r="K12" s="6">
        <v>327</v>
      </c>
      <c r="L12" s="6">
        <v>14</v>
      </c>
      <c r="M12" s="6">
        <v>0</v>
      </c>
      <c r="N12" s="6">
        <v>0</v>
      </c>
      <c r="O12" s="6">
        <v>174</v>
      </c>
      <c r="P12" s="6">
        <v>1769</v>
      </c>
      <c r="Q12" s="6">
        <v>0</v>
      </c>
      <c r="R12" s="6">
        <v>130</v>
      </c>
      <c r="S12" s="6">
        <v>0</v>
      </c>
      <c r="T12" s="6">
        <v>162</v>
      </c>
      <c r="U12" s="6">
        <v>474</v>
      </c>
      <c r="V12" s="6">
        <v>460</v>
      </c>
      <c r="W12" s="6">
        <v>0</v>
      </c>
      <c r="X12" s="6">
        <v>1600</v>
      </c>
      <c r="Y12" s="6">
        <v>7.12702447734</v>
      </c>
      <c r="Z12" s="6">
        <v>410.04081567120681</v>
      </c>
      <c r="AA12" s="6">
        <v>0</v>
      </c>
      <c r="AB12" s="6">
        <v>210</v>
      </c>
      <c r="AC12" s="6">
        <v>125</v>
      </c>
      <c r="AD12" s="6">
        <v>143.47956298376999</v>
      </c>
      <c r="AE12" s="6">
        <v>0</v>
      </c>
      <c r="AF12" s="6">
        <v>0</v>
      </c>
      <c r="AG12" s="6">
        <v>418.11869912899999</v>
      </c>
      <c r="AH12" s="6">
        <v>267.03483921888193</v>
      </c>
      <c r="AI12" s="147">
        <v>11730.794633220303</v>
      </c>
    </row>
    <row r="13" spans="2:35" x14ac:dyDescent="0.25">
      <c r="B13" t="s">
        <v>913</v>
      </c>
      <c r="C13" s="6">
        <v>0</v>
      </c>
      <c r="D13" s="6">
        <v>0</v>
      </c>
      <c r="E13" s="6">
        <v>420</v>
      </c>
      <c r="F13" s="6">
        <v>0</v>
      </c>
      <c r="G13" s="6">
        <v>0</v>
      </c>
      <c r="H13" s="6">
        <v>1594</v>
      </c>
      <c r="I13" s="6">
        <v>0</v>
      </c>
      <c r="J13" s="6">
        <v>8609</v>
      </c>
      <c r="K13" s="6">
        <v>3356</v>
      </c>
      <c r="L13" s="6">
        <v>0</v>
      </c>
      <c r="M13" s="6">
        <v>0</v>
      </c>
      <c r="N13" s="6">
        <v>283.86207574899998</v>
      </c>
      <c r="O13" s="6">
        <v>640</v>
      </c>
      <c r="P13" s="6">
        <v>19076</v>
      </c>
      <c r="Q13" s="6">
        <v>0</v>
      </c>
      <c r="R13" s="6">
        <v>4609</v>
      </c>
      <c r="S13" s="6">
        <v>0</v>
      </c>
      <c r="T13" s="6">
        <v>0</v>
      </c>
      <c r="U13" s="6">
        <v>254</v>
      </c>
      <c r="V13" s="6">
        <v>800</v>
      </c>
      <c r="W13" s="6">
        <v>1</v>
      </c>
      <c r="X13" s="6">
        <v>1450</v>
      </c>
      <c r="Y13" s="6">
        <v>0</v>
      </c>
      <c r="Z13" s="6">
        <v>0</v>
      </c>
      <c r="AA13" s="6">
        <v>0</v>
      </c>
      <c r="AB13" s="6">
        <v>0</v>
      </c>
      <c r="AC13" s="6">
        <v>256</v>
      </c>
      <c r="AD13" s="6">
        <v>0</v>
      </c>
      <c r="AE13" s="6">
        <v>0</v>
      </c>
      <c r="AF13" s="6">
        <v>0</v>
      </c>
      <c r="AG13" s="6">
        <v>477</v>
      </c>
      <c r="AH13" s="6">
        <v>0</v>
      </c>
      <c r="AI13" s="147">
        <v>41825.862075748999</v>
      </c>
    </row>
    <row r="14" spans="2:35" x14ac:dyDescent="0.25">
      <c r="B14" t="s">
        <v>914</v>
      </c>
      <c r="C14" s="6">
        <v>0</v>
      </c>
      <c r="D14" s="6">
        <v>0</v>
      </c>
      <c r="E14" s="6">
        <v>0</v>
      </c>
      <c r="F14" s="6">
        <v>0</v>
      </c>
      <c r="G14" s="6">
        <v>0</v>
      </c>
      <c r="H14" s="6">
        <v>0</v>
      </c>
      <c r="I14" s="6">
        <v>0</v>
      </c>
      <c r="J14" s="6">
        <v>0</v>
      </c>
      <c r="K14" s="6">
        <v>0</v>
      </c>
      <c r="L14" s="6">
        <v>0</v>
      </c>
      <c r="M14" s="6">
        <v>0</v>
      </c>
      <c r="N14" s="6">
        <v>0</v>
      </c>
      <c r="O14" s="6">
        <v>0</v>
      </c>
      <c r="P14" s="6">
        <v>0</v>
      </c>
      <c r="Q14" s="6">
        <v>0</v>
      </c>
      <c r="R14" s="6">
        <v>0</v>
      </c>
      <c r="S14" s="6">
        <v>0</v>
      </c>
      <c r="T14" s="6">
        <v>0</v>
      </c>
      <c r="U14" s="6">
        <v>0</v>
      </c>
      <c r="V14" s="6">
        <v>0</v>
      </c>
      <c r="W14" s="6">
        <v>0</v>
      </c>
      <c r="X14" s="6">
        <v>0</v>
      </c>
      <c r="Y14" s="6">
        <v>0</v>
      </c>
      <c r="Z14" s="6">
        <v>0</v>
      </c>
      <c r="AA14" s="6">
        <v>0</v>
      </c>
      <c r="AB14" s="6">
        <v>0</v>
      </c>
      <c r="AC14" s="6">
        <v>0</v>
      </c>
      <c r="AD14" s="6">
        <v>0</v>
      </c>
      <c r="AE14" s="6">
        <v>0</v>
      </c>
      <c r="AF14" s="6">
        <v>0</v>
      </c>
      <c r="AG14" s="6">
        <v>0</v>
      </c>
      <c r="AH14" s="6">
        <v>0</v>
      </c>
      <c r="AI14" s="147">
        <v>0</v>
      </c>
    </row>
    <row r="15" spans="2:35" x14ac:dyDescent="0.25">
      <c r="B15" t="s">
        <v>915</v>
      </c>
      <c r="C15" s="6">
        <v>0</v>
      </c>
      <c r="D15" s="6">
        <v>0</v>
      </c>
      <c r="E15" s="6">
        <v>0</v>
      </c>
      <c r="F15" s="6">
        <v>0</v>
      </c>
      <c r="G15" s="6">
        <v>0</v>
      </c>
      <c r="H15" s="6">
        <v>0</v>
      </c>
      <c r="I15" s="6">
        <v>0</v>
      </c>
      <c r="J15" s="6">
        <v>333</v>
      </c>
      <c r="K15" s="6">
        <v>39</v>
      </c>
      <c r="L15" s="6">
        <v>0</v>
      </c>
      <c r="M15" s="6">
        <v>0</v>
      </c>
      <c r="N15" s="6">
        <v>0</v>
      </c>
      <c r="O15" s="6">
        <v>0</v>
      </c>
      <c r="P15" s="6">
        <v>0</v>
      </c>
      <c r="Q15" s="6">
        <v>0</v>
      </c>
      <c r="R15" s="6">
        <v>67</v>
      </c>
      <c r="S15" s="6">
        <v>0</v>
      </c>
      <c r="T15" s="6">
        <v>0</v>
      </c>
      <c r="U15" s="6">
        <v>0</v>
      </c>
      <c r="V15" s="6">
        <v>0</v>
      </c>
      <c r="W15" s="6">
        <v>0</v>
      </c>
      <c r="X15" s="6">
        <v>0</v>
      </c>
      <c r="Y15" s="6">
        <v>0</v>
      </c>
      <c r="Z15" s="6">
        <v>9.8601094023330003</v>
      </c>
      <c r="AA15" s="6">
        <v>0</v>
      </c>
      <c r="AB15" s="6">
        <v>0</v>
      </c>
      <c r="AC15" s="6">
        <v>0</v>
      </c>
      <c r="AD15" s="6">
        <v>0</v>
      </c>
      <c r="AE15" s="6">
        <v>0</v>
      </c>
      <c r="AF15" s="6">
        <v>0</v>
      </c>
      <c r="AG15" s="6">
        <v>253.07323110499999</v>
      </c>
      <c r="AH15" s="6">
        <v>0</v>
      </c>
      <c r="AI15" s="147">
        <v>701.93334050733301</v>
      </c>
    </row>
    <row r="16" spans="2:35" x14ac:dyDescent="0.25">
      <c r="B16" t="s">
        <v>916</v>
      </c>
      <c r="C16" s="6">
        <v>8.9878691204770007</v>
      </c>
      <c r="D16" s="6">
        <v>0</v>
      </c>
      <c r="E16" s="6">
        <v>0</v>
      </c>
      <c r="F16" s="6">
        <v>0</v>
      </c>
      <c r="G16" s="6">
        <v>0</v>
      </c>
      <c r="H16" s="6">
        <v>0</v>
      </c>
      <c r="I16" s="6">
        <v>0</v>
      </c>
      <c r="J16" s="6">
        <v>0</v>
      </c>
      <c r="K16" s="6">
        <v>0</v>
      </c>
      <c r="L16" s="6">
        <v>1</v>
      </c>
      <c r="M16" s="6">
        <v>0</v>
      </c>
      <c r="N16" s="6">
        <v>0</v>
      </c>
      <c r="O16" s="6">
        <v>0</v>
      </c>
      <c r="P16" s="6">
        <v>49</v>
      </c>
      <c r="Q16" s="6">
        <v>0</v>
      </c>
      <c r="R16" s="6">
        <v>0</v>
      </c>
      <c r="S16" s="6">
        <v>0</v>
      </c>
      <c r="T16" s="6">
        <v>0</v>
      </c>
      <c r="U16" s="6">
        <v>10</v>
      </c>
      <c r="V16" s="6">
        <v>0</v>
      </c>
      <c r="W16" s="6">
        <v>0</v>
      </c>
      <c r="X16" s="6">
        <v>0</v>
      </c>
      <c r="Y16" s="6">
        <v>16.483313451499001</v>
      </c>
      <c r="Z16" s="6">
        <v>222.36745899971035</v>
      </c>
      <c r="AA16" s="6">
        <v>0</v>
      </c>
      <c r="AB16" s="6">
        <v>0</v>
      </c>
      <c r="AC16" s="6">
        <v>0</v>
      </c>
      <c r="AD16" s="6">
        <v>115.18633638451202</v>
      </c>
      <c r="AE16" s="6">
        <v>0</v>
      </c>
      <c r="AF16" s="6">
        <v>0</v>
      </c>
      <c r="AG16" s="6">
        <v>0</v>
      </c>
      <c r="AH16" s="6">
        <v>23</v>
      </c>
      <c r="AI16" s="147">
        <v>446.02497795619837</v>
      </c>
    </row>
    <row r="17" spans="2:35" x14ac:dyDescent="0.25">
      <c r="B17" t="s">
        <v>917</v>
      </c>
      <c r="C17" s="6">
        <v>0</v>
      </c>
      <c r="D17" s="6">
        <v>0</v>
      </c>
      <c r="E17" s="6">
        <v>0</v>
      </c>
      <c r="F17" s="6">
        <v>0</v>
      </c>
      <c r="G17" s="6">
        <v>0</v>
      </c>
      <c r="H17" s="6">
        <v>0</v>
      </c>
      <c r="I17" s="6">
        <v>0</v>
      </c>
      <c r="J17" s="6">
        <v>0</v>
      </c>
      <c r="K17" s="6">
        <v>0</v>
      </c>
      <c r="L17" s="6">
        <v>0</v>
      </c>
      <c r="M17" s="6">
        <v>0</v>
      </c>
      <c r="N17" s="6">
        <v>0</v>
      </c>
      <c r="O17" s="6">
        <v>0</v>
      </c>
      <c r="P17" s="6">
        <v>0</v>
      </c>
      <c r="Q17" s="6">
        <v>0</v>
      </c>
      <c r="R17" s="6">
        <v>0</v>
      </c>
      <c r="S17" s="6">
        <v>0</v>
      </c>
      <c r="T17" s="6">
        <v>0</v>
      </c>
      <c r="U17" s="6">
        <v>0</v>
      </c>
      <c r="V17" s="6">
        <v>0</v>
      </c>
      <c r="W17" s="6">
        <v>0</v>
      </c>
      <c r="X17" s="6">
        <v>0</v>
      </c>
      <c r="Y17" s="6">
        <v>0</v>
      </c>
      <c r="Z17" s="6">
        <v>0</v>
      </c>
      <c r="AA17" s="6">
        <v>0</v>
      </c>
      <c r="AB17" s="6">
        <v>0</v>
      </c>
      <c r="AC17" s="6">
        <v>0</v>
      </c>
      <c r="AD17" s="6">
        <v>0</v>
      </c>
      <c r="AE17" s="6">
        <v>0</v>
      </c>
      <c r="AF17" s="6">
        <v>0</v>
      </c>
      <c r="AG17" s="6">
        <v>0</v>
      </c>
      <c r="AH17" s="6">
        <v>0</v>
      </c>
      <c r="AI17" s="147">
        <v>0</v>
      </c>
    </row>
    <row r="18" spans="2:35" x14ac:dyDescent="0.25">
      <c r="B18" t="s">
        <v>918</v>
      </c>
      <c r="C18" s="6">
        <v>0</v>
      </c>
      <c r="D18" s="6">
        <v>0</v>
      </c>
      <c r="E18" s="6">
        <v>0</v>
      </c>
      <c r="F18" s="6">
        <v>0</v>
      </c>
      <c r="G18" s="6">
        <v>0</v>
      </c>
      <c r="H18" s="6">
        <v>0</v>
      </c>
      <c r="I18" s="6">
        <v>0</v>
      </c>
      <c r="J18" s="6">
        <v>12</v>
      </c>
      <c r="K18" s="6">
        <v>0</v>
      </c>
      <c r="L18" s="6">
        <v>0</v>
      </c>
      <c r="M18" s="6">
        <v>0</v>
      </c>
      <c r="N18" s="6">
        <v>0</v>
      </c>
      <c r="O18" s="6">
        <v>0</v>
      </c>
      <c r="P18" s="6">
        <v>0</v>
      </c>
      <c r="Q18" s="6">
        <v>0</v>
      </c>
      <c r="R18" s="6">
        <v>394</v>
      </c>
      <c r="S18" s="6">
        <v>0</v>
      </c>
      <c r="T18" s="6">
        <v>0</v>
      </c>
      <c r="U18" s="6">
        <v>0</v>
      </c>
      <c r="V18" s="6">
        <v>0</v>
      </c>
      <c r="W18" s="6">
        <v>0</v>
      </c>
      <c r="X18" s="6">
        <v>0</v>
      </c>
      <c r="Y18" s="6">
        <v>0</v>
      </c>
      <c r="Z18" s="6">
        <v>7691</v>
      </c>
      <c r="AA18" s="6">
        <v>0</v>
      </c>
      <c r="AB18" s="6">
        <v>0</v>
      </c>
      <c r="AC18" s="6">
        <v>0</v>
      </c>
      <c r="AD18" s="6">
        <v>0</v>
      </c>
      <c r="AE18" s="6">
        <v>0</v>
      </c>
      <c r="AF18" s="6">
        <v>0</v>
      </c>
      <c r="AG18" s="6">
        <v>0</v>
      </c>
      <c r="AH18" s="6">
        <v>0</v>
      </c>
      <c r="AI18" s="147">
        <v>8097</v>
      </c>
    </row>
    <row r="19" spans="2:35" x14ac:dyDescent="0.25">
      <c r="B19" t="s">
        <v>919</v>
      </c>
      <c r="C19" s="6">
        <v>533.0652437527815</v>
      </c>
      <c r="D19" s="6">
        <v>41</v>
      </c>
      <c r="E19" s="6">
        <v>0</v>
      </c>
      <c r="F19" s="6">
        <v>0</v>
      </c>
      <c r="G19" s="6">
        <v>0</v>
      </c>
      <c r="H19" s="6">
        <v>0</v>
      </c>
      <c r="I19" s="6">
        <v>0</v>
      </c>
      <c r="J19" s="6">
        <v>515</v>
      </c>
      <c r="K19" s="6">
        <v>0</v>
      </c>
      <c r="L19" s="6">
        <v>47</v>
      </c>
      <c r="M19" s="6">
        <v>0</v>
      </c>
      <c r="N19" s="6">
        <v>0</v>
      </c>
      <c r="O19" s="6">
        <v>43</v>
      </c>
      <c r="P19" s="6">
        <v>0</v>
      </c>
      <c r="Q19" s="6">
        <v>0</v>
      </c>
      <c r="R19" s="6">
        <v>0</v>
      </c>
      <c r="S19" s="6">
        <v>0</v>
      </c>
      <c r="T19" s="6">
        <v>0</v>
      </c>
      <c r="U19" s="6">
        <v>0</v>
      </c>
      <c r="V19" s="6">
        <v>0</v>
      </c>
      <c r="W19" s="6">
        <v>0</v>
      </c>
      <c r="X19" s="6">
        <v>0</v>
      </c>
      <c r="Y19" s="6">
        <v>308.55709400424053</v>
      </c>
      <c r="Z19" s="6">
        <v>650.40609723843215</v>
      </c>
      <c r="AA19" s="6">
        <v>0</v>
      </c>
      <c r="AB19" s="6">
        <v>0</v>
      </c>
      <c r="AC19" s="6">
        <v>0</v>
      </c>
      <c r="AD19" s="6">
        <v>130.67936399581703</v>
      </c>
      <c r="AE19" s="6">
        <v>0</v>
      </c>
      <c r="AF19" s="6">
        <v>487</v>
      </c>
      <c r="AG19" s="6">
        <v>0</v>
      </c>
      <c r="AH19" s="6">
        <v>154.69016843848095</v>
      </c>
      <c r="AI19" s="147">
        <v>2910.397967429752</v>
      </c>
    </row>
    <row r="20" spans="2:35" x14ac:dyDescent="0.25">
      <c r="B20" t="s">
        <v>920</v>
      </c>
      <c r="C20" s="6">
        <v>2198.8463121096183</v>
      </c>
      <c r="D20" s="6">
        <v>9</v>
      </c>
      <c r="E20" s="6">
        <v>25300</v>
      </c>
      <c r="F20" s="6">
        <v>0</v>
      </c>
      <c r="G20" s="6">
        <v>9766</v>
      </c>
      <c r="H20" s="6">
        <v>953</v>
      </c>
      <c r="I20" s="6">
        <v>6661</v>
      </c>
      <c r="J20" s="6">
        <v>8944</v>
      </c>
      <c r="K20" s="6">
        <v>22288</v>
      </c>
      <c r="L20" s="6">
        <v>629</v>
      </c>
      <c r="M20" s="6">
        <v>1822</v>
      </c>
      <c r="N20" s="6">
        <v>241.019916704</v>
      </c>
      <c r="O20" s="6">
        <v>4983</v>
      </c>
      <c r="P20" s="6">
        <v>3201</v>
      </c>
      <c r="Q20" s="6">
        <v>10</v>
      </c>
      <c r="R20" s="6">
        <v>6569</v>
      </c>
      <c r="S20" s="6">
        <v>0</v>
      </c>
      <c r="T20" s="6">
        <v>2800</v>
      </c>
      <c r="U20" s="6">
        <v>698</v>
      </c>
      <c r="V20" s="6">
        <v>1680</v>
      </c>
      <c r="W20" s="6">
        <v>5596</v>
      </c>
      <c r="X20" s="6">
        <v>3249</v>
      </c>
      <c r="Y20" s="6">
        <v>638.14604533555757</v>
      </c>
      <c r="Z20" s="6">
        <v>26632.485591029843</v>
      </c>
      <c r="AA20" s="6">
        <v>684</v>
      </c>
      <c r="AB20" s="6">
        <v>2786</v>
      </c>
      <c r="AC20" s="6">
        <v>1458</v>
      </c>
      <c r="AD20" s="6">
        <v>7992.3096708390185</v>
      </c>
      <c r="AE20" s="6">
        <v>7069</v>
      </c>
      <c r="AF20" s="6">
        <v>6863</v>
      </c>
      <c r="AG20" s="6">
        <v>823.33804222489687</v>
      </c>
      <c r="AH20" s="6">
        <v>8407.4103638263787</v>
      </c>
      <c r="AI20" s="147">
        <v>170951.5559420693</v>
      </c>
    </row>
    <row r="21" spans="2:35" x14ac:dyDescent="0.25">
      <c r="B21" t="s">
        <v>921</v>
      </c>
      <c r="C21" s="6">
        <v>146.59080973646169</v>
      </c>
      <c r="D21" s="6">
        <v>110</v>
      </c>
      <c r="E21" s="6">
        <v>855</v>
      </c>
      <c r="F21" s="6">
        <v>0</v>
      </c>
      <c r="G21" s="6">
        <v>2700</v>
      </c>
      <c r="H21" s="6">
        <v>0</v>
      </c>
      <c r="I21" s="6">
        <v>65</v>
      </c>
      <c r="J21" s="6">
        <v>489</v>
      </c>
      <c r="K21" s="6">
        <v>326</v>
      </c>
      <c r="L21" s="6">
        <v>212</v>
      </c>
      <c r="M21" s="6">
        <v>0</v>
      </c>
      <c r="N21" s="6">
        <v>0</v>
      </c>
      <c r="O21" s="6">
        <v>1086</v>
      </c>
      <c r="P21" s="6">
        <v>0</v>
      </c>
      <c r="Q21" s="6">
        <v>10</v>
      </c>
      <c r="R21" s="6">
        <v>318</v>
      </c>
      <c r="S21" s="6">
        <v>0</v>
      </c>
      <c r="T21" s="6">
        <v>5000</v>
      </c>
      <c r="U21" s="6">
        <v>124</v>
      </c>
      <c r="V21" s="6">
        <v>0</v>
      </c>
      <c r="W21" s="6">
        <v>16387</v>
      </c>
      <c r="X21" s="6">
        <v>0</v>
      </c>
      <c r="Y21" s="6">
        <v>1473.6550285353101</v>
      </c>
      <c r="Z21" s="6">
        <v>941.44701069159885</v>
      </c>
      <c r="AA21" s="6">
        <v>1729</v>
      </c>
      <c r="AB21" s="6">
        <v>267</v>
      </c>
      <c r="AC21" s="6">
        <v>0</v>
      </c>
      <c r="AD21" s="6">
        <v>3832.6541867217702</v>
      </c>
      <c r="AE21" s="6">
        <v>5466</v>
      </c>
      <c r="AF21" s="6">
        <v>0</v>
      </c>
      <c r="AG21" s="6">
        <v>469.01712456893995</v>
      </c>
      <c r="AH21" s="6">
        <v>5362.2896657285846</v>
      </c>
      <c r="AI21" s="147">
        <v>47369.653825982663</v>
      </c>
    </row>
    <row r="22" spans="2:35" x14ac:dyDescent="0.25">
      <c r="B22" t="s">
        <v>922</v>
      </c>
      <c r="C22" s="6">
        <v>2355.5701780132908</v>
      </c>
      <c r="D22" s="6">
        <v>396</v>
      </c>
      <c r="E22" s="6">
        <v>754</v>
      </c>
      <c r="F22" s="6">
        <v>0</v>
      </c>
      <c r="G22" s="6">
        <v>4570</v>
      </c>
      <c r="H22" s="6">
        <v>0</v>
      </c>
      <c r="I22" s="6">
        <v>0</v>
      </c>
      <c r="J22" s="6">
        <v>1792</v>
      </c>
      <c r="K22" s="6">
        <v>0</v>
      </c>
      <c r="L22" s="6">
        <v>284</v>
      </c>
      <c r="M22" s="6">
        <v>379</v>
      </c>
      <c r="N22" s="6">
        <v>0</v>
      </c>
      <c r="O22" s="6">
        <v>529</v>
      </c>
      <c r="P22" s="6">
        <v>9329</v>
      </c>
      <c r="Q22" s="6">
        <v>2000</v>
      </c>
      <c r="R22" s="6">
        <v>524</v>
      </c>
      <c r="S22" s="6">
        <v>0</v>
      </c>
      <c r="T22" s="6">
        <v>980</v>
      </c>
      <c r="U22" s="6">
        <v>322</v>
      </c>
      <c r="V22" s="6">
        <v>1415</v>
      </c>
      <c r="W22" s="6">
        <v>0</v>
      </c>
      <c r="X22" s="6">
        <v>1100</v>
      </c>
      <c r="Y22" s="6">
        <v>3854.6718520841291</v>
      </c>
      <c r="Z22" s="6">
        <v>3549.4669192437841</v>
      </c>
      <c r="AA22" s="6">
        <v>281</v>
      </c>
      <c r="AB22" s="6">
        <v>0</v>
      </c>
      <c r="AC22" s="6">
        <v>308</v>
      </c>
      <c r="AD22" s="6">
        <v>3281.0422004515244</v>
      </c>
      <c r="AE22" s="6">
        <v>0</v>
      </c>
      <c r="AF22" s="6">
        <v>0</v>
      </c>
      <c r="AG22" s="6">
        <v>0</v>
      </c>
      <c r="AH22" s="6">
        <v>4096.3253313424293</v>
      </c>
      <c r="AI22" s="147">
        <v>42100.076481135162</v>
      </c>
    </row>
    <row r="23" spans="2:35" x14ac:dyDescent="0.25">
      <c r="B23" t="s">
        <v>923</v>
      </c>
      <c r="C23" s="6">
        <v>0</v>
      </c>
      <c r="D23" s="6">
        <v>515</v>
      </c>
      <c r="E23" s="6">
        <v>373</v>
      </c>
      <c r="F23" s="6">
        <v>561</v>
      </c>
      <c r="G23" s="6">
        <v>0</v>
      </c>
      <c r="H23" s="6">
        <v>677</v>
      </c>
      <c r="I23" s="6">
        <v>0</v>
      </c>
      <c r="J23" s="6">
        <v>0</v>
      </c>
      <c r="K23" s="6">
        <v>0</v>
      </c>
      <c r="L23" s="6">
        <v>1711</v>
      </c>
      <c r="M23" s="6">
        <v>36</v>
      </c>
      <c r="N23" s="6">
        <v>40</v>
      </c>
      <c r="O23" s="6">
        <v>1431</v>
      </c>
      <c r="P23" s="6">
        <v>3100</v>
      </c>
      <c r="Q23" s="6">
        <v>0</v>
      </c>
      <c r="R23" s="6">
        <v>0</v>
      </c>
      <c r="S23" s="6">
        <v>66</v>
      </c>
      <c r="T23" s="6">
        <v>0</v>
      </c>
      <c r="U23" s="6">
        <v>470</v>
      </c>
      <c r="V23" s="6">
        <v>0</v>
      </c>
      <c r="W23" s="6">
        <v>1563</v>
      </c>
      <c r="X23" s="6">
        <v>210</v>
      </c>
      <c r="Y23" s="6">
        <v>264</v>
      </c>
      <c r="Z23" s="6">
        <v>7636.9384664802528</v>
      </c>
      <c r="AA23" s="6">
        <v>3095</v>
      </c>
      <c r="AB23" s="6">
        <v>1180</v>
      </c>
      <c r="AC23" s="6">
        <v>0</v>
      </c>
      <c r="AD23" s="6">
        <v>504</v>
      </c>
      <c r="AE23" s="6">
        <v>3486</v>
      </c>
      <c r="AF23" s="6">
        <v>0</v>
      </c>
      <c r="AG23" s="6">
        <v>700</v>
      </c>
      <c r="AH23" s="6">
        <v>0</v>
      </c>
      <c r="AI23" s="147">
        <v>27618.938466480253</v>
      </c>
    </row>
    <row r="24" spans="2:35" x14ac:dyDescent="0.25">
      <c r="B24" t="s">
        <v>924</v>
      </c>
      <c r="C24" s="6">
        <v>0</v>
      </c>
      <c r="D24" s="6">
        <v>0</v>
      </c>
      <c r="E24" s="6">
        <v>0</v>
      </c>
      <c r="F24" s="6">
        <v>0</v>
      </c>
      <c r="G24" s="6">
        <v>0</v>
      </c>
      <c r="H24" s="6">
        <v>0</v>
      </c>
      <c r="I24" s="6">
        <v>0</v>
      </c>
      <c r="J24" s="6">
        <v>0</v>
      </c>
      <c r="K24" s="6">
        <v>0</v>
      </c>
      <c r="L24" s="6">
        <v>0</v>
      </c>
      <c r="M24" s="6">
        <v>0</v>
      </c>
      <c r="N24" s="6">
        <v>0</v>
      </c>
      <c r="O24" s="6">
        <v>0</v>
      </c>
      <c r="P24" s="6">
        <v>0</v>
      </c>
      <c r="Q24" s="6">
        <v>0</v>
      </c>
      <c r="R24" s="6">
        <v>0</v>
      </c>
      <c r="S24" s="6">
        <v>0</v>
      </c>
      <c r="T24" s="6">
        <v>0</v>
      </c>
      <c r="U24" s="6">
        <v>0</v>
      </c>
      <c r="V24" s="6">
        <v>0</v>
      </c>
      <c r="W24" s="6">
        <v>0</v>
      </c>
      <c r="X24" s="6">
        <v>0</v>
      </c>
      <c r="Y24" s="6">
        <v>0</v>
      </c>
      <c r="Z24" s="6">
        <v>0.2499642518771322</v>
      </c>
      <c r="AA24" s="6">
        <v>0</v>
      </c>
      <c r="AB24" s="6">
        <v>0</v>
      </c>
      <c r="AC24" s="6">
        <v>0</v>
      </c>
      <c r="AD24" s="6">
        <v>0</v>
      </c>
      <c r="AE24" s="6">
        <v>0</v>
      </c>
      <c r="AF24" s="6">
        <v>0</v>
      </c>
      <c r="AG24" s="6">
        <v>0</v>
      </c>
      <c r="AH24" s="6">
        <v>0</v>
      </c>
      <c r="AI24" s="147">
        <v>0.2499642518771322</v>
      </c>
    </row>
    <row r="25" spans="2:35" x14ac:dyDescent="0.25">
      <c r="B25" t="s">
        <v>925</v>
      </c>
      <c r="C25" s="6">
        <v>26.771134755275</v>
      </c>
      <c r="D25" s="6">
        <v>11</v>
      </c>
      <c r="E25" s="6">
        <v>121</v>
      </c>
      <c r="F25" s="6">
        <v>0</v>
      </c>
      <c r="G25" s="6">
        <v>0</v>
      </c>
      <c r="H25" s="6">
        <v>1</v>
      </c>
      <c r="I25" s="6">
        <v>1</v>
      </c>
      <c r="J25" s="6">
        <v>10</v>
      </c>
      <c r="K25" s="6">
        <v>0</v>
      </c>
      <c r="L25" s="6">
        <v>3</v>
      </c>
      <c r="M25" s="6">
        <v>2</v>
      </c>
      <c r="N25" s="6">
        <v>0</v>
      </c>
      <c r="O25" s="6">
        <v>8</v>
      </c>
      <c r="P25" s="6">
        <v>0</v>
      </c>
      <c r="Q25" s="6">
        <v>80</v>
      </c>
      <c r="R25" s="6">
        <v>0</v>
      </c>
      <c r="S25" s="6">
        <v>0</v>
      </c>
      <c r="T25" s="6">
        <v>0</v>
      </c>
      <c r="U25" s="6">
        <v>16</v>
      </c>
      <c r="V25" s="6">
        <v>0</v>
      </c>
      <c r="W25" s="6">
        <v>60</v>
      </c>
      <c r="X25" s="6">
        <v>0</v>
      </c>
      <c r="Y25" s="6">
        <v>93.547805489630008</v>
      </c>
      <c r="Z25" s="6">
        <v>100.20253552868971</v>
      </c>
      <c r="AA25" s="6">
        <v>0</v>
      </c>
      <c r="AB25" s="6">
        <v>0</v>
      </c>
      <c r="AC25" s="6">
        <v>0</v>
      </c>
      <c r="AD25" s="6">
        <v>22.099298025880003</v>
      </c>
      <c r="AE25" s="6">
        <v>0</v>
      </c>
      <c r="AF25" s="6">
        <v>0</v>
      </c>
      <c r="AG25" s="6">
        <v>0</v>
      </c>
      <c r="AH25" s="6">
        <v>38.4774940175677</v>
      </c>
      <c r="AI25" s="147">
        <v>594.09826781704237</v>
      </c>
    </row>
    <row r="26" spans="2:35" x14ac:dyDescent="0.25">
      <c r="B26" t="s">
        <v>926</v>
      </c>
      <c r="C26" s="6">
        <v>0</v>
      </c>
      <c r="D26" s="6">
        <v>0</v>
      </c>
      <c r="E26" s="6">
        <v>0</v>
      </c>
      <c r="F26" s="6">
        <v>0</v>
      </c>
      <c r="G26" s="6">
        <v>0</v>
      </c>
      <c r="H26" s="6">
        <v>4</v>
      </c>
      <c r="I26" s="6">
        <v>0</v>
      </c>
      <c r="J26" s="6">
        <v>89</v>
      </c>
      <c r="K26" s="6">
        <v>0</v>
      </c>
      <c r="L26" s="6">
        <v>0</v>
      </c>
      <c r="M26" s="6">
        <v>0</v>
      </c>
      <c r="N26" s="6">
        <v>0</v>
      </c>
      <c r="O26" s="6">
        <v>0</v>
      </c>
      <c r="P26" s="6">
        <v>9</v>
      </c>
      <c r="Q26" s="6">
        <v>0</v>
      </c>
      <c r="R26" s="6">
        <v>0</v>
      </c>
      <c r="S26" s="6">
        <v>0</v>
      </c>
      <c r="T26" s="6">
        <v>0</v>
      </c>
      <c r="U26" s="6">
        <v>50</v>
      </c>
      <c r="V26" s="6">
        <v>0</v>
      </c>
      <c r="W26" s="6">
        <v>0</v>
      </c>
      <c r="X26" s="6">
        <v>12</v>
      </c>
      <c r="Y26" s="6">
        <v>0</v>
      </c>
      <c r="Z26" s="6">
        <v>10.809589924457859</v>
      </c>
      <c r="AA26" s="6">
        <v>0</v>
      </c>
      <c r="AB26" s="6">
        <v>0</v>
      </c>
      <c r="AC26" s="6">
        <v>0</v>
      </c>
      <c r="AD26" s="6">
        <v>0</v>
      </c>
      <c r="AE26" s="6">
        <v>0</v>
      </c>
      <c r="AF26" s="6">
        <v>0</v>
      </c>
      <c r="AG26" s="6">
        <v>0</v>
      </c>
      <c r="AH26" s="6">
        <v>0</v>
      </c>
      <c r="AI26" s="147">
        <v>174.80958992445787</v>
      </c>
    </row>
    <row r="27" spans="2:35" x14ac:dyDescent="0.25">
      <c r="B27" t="s">
        <v>927</v>
      </c>
      <c r="C27" s="6">
        <v>0</v>
      </c>
      <c r="D27" s="6">
        <v>0</v>
      </c>
      <c r="E27" s="6">
        <v>21</v>
      </c>
      <c r="F27" s="6">
        <v>0</v>
      </c>
      <c r="G27" s="6">
        <v>0</v>
      </c>
      <c r="H27" s="6">
        <v>209</v>
      </c>
      <c r="I27" s="6">
        <v>0</v>
      </c>
      <c r="J27" s="6">
        <v>106</v>
      </c>
      <c r="K27" s="6">
        <v>0</v>
      </c>
      <c r="L27" s="6">
        <v>0</v>
      </c>
      <c r="M27" s="6">
        <v>0</v>
      </c>
      <c r="N27" s="6">
        <v>0</v>
      </c>
      <c r="O27" s="6">
        <v>0</v>
      </c>
      <c r="P27" s="6">
        <v>102</v>
      </c>
      <c r="Q27" s="6">
        <v>0</v>
      </c>
      <c r="R27" s="6">
        <v>320</v>
      </c>
      <c r="S27" s="6">
        <v>0</v>
      </c>
      <c r="T27" s="6">
        <v>0</v>
      </c>
      <c r="U27" s="6">
        <v>0</v>
      </c>
      <c r="V27" s="6">
        <v>4</v>
      </c>
      <c r="W27" s="6">
        <v>0</v>
      </c>
      <c r="X27" s="6">
        <v>30</v>
      </c>
      <c r="Y27" s="6">
        <v>0</v>
      </c>
      <c r="Z27" s="6">
        <v>1391.3819681025161</v>
      </c>
      <c r="AA27" s="6">
        <v>0</v>
      </c>
      <c r="AB27" s="6">
        <v>0</v>
      </c>
      <c r="AC27" s="6">
        <v>21</v>
      </c>
      <c r="AD27" s="6">
        <v>0</v>
      </c>
      <c r="AE27" s="6">
        <v>0</v>
      </c>
      <c r="AF27" s="6">
        <v>1971</v>
      </c>
      <c r="AG27" s="6">
        <v>0</v>
      </c>
      <c r="AH27" s="6">
        <v>0</v>
      </c>
      <c r="AI27" s="147">
        <v>4175.3819681025161</v>
      </c>
    </row>
    <row r="28" spans="2:35" x14ac:dyDescent="0.25">
      <c r="B28" t="s">
        <v>928</v>
      </c>
      <c r="C28" s="6">
        <v>0</v>
      </c>
      <c r="D28" s="6">
        <v>0</v>
      </c>
      <c r="E28" s="6">
        <v>0</v>
      </c>
      <c r="F28" s="6">
        <v>0</v>
      </c>
      <c r="G28" s="6">
        <v>0</v>
      </c>
      <c r="H28" s="6">
        <v>0</v>
      </c>
      <c r="I28" s="6">
        <v>0</v>
      </c>
      <c r="J28" s="6">
        <v>0</v>
      </c>
      <c r="K28" s="6">
        <v>0</v>
      </c>
      <c r="L28" s="6">
        <v>0</v>
      </c>
      <c r="M28" s="6">
        <v>0</v>
      </c>
      <c r="N28" s="6">
        <v>0</v>
      </c>
      <c r="O28" s="6">
        <v>0</v>
      </c>
      <c r="P28" s="6">
        <v>2992</v>
      </c>
      <c r="Q28" s="6">
        <v>0</v>
      </c>
      <c r="R28" s="6">
        <v>0</v>
      </c>
      <c r="S28" s="6">
        <v>0</v>
      </c>
      <c r="T28" s="6">
        <v>0</v>
      </c>
      <c r="U28" s="6">
        <v>0</v>
      </c>
      <c r="V28" s="6">
        <v>0</v>
      </c>
      <c r="W28" s="6">
        <v>0</v>
      </c>
      <c r="X28" s="6">
        <v>3470</v>
      </c>
      <c r="Y28" s="6">
        <v>0</v>
      </c>
      <c r="Z28" s="6">
        <v>0</v>
      </c>
      <c r="AA28" s="6">
        <v>0</v>
      </c>
      <c r="AB28" s="6">
        <v>0</v>
      </c>
      <c r="AC28" s="6">
        <v>0</v>
      </c>
      <c r="AD28" s="6">
        <v>0</v>
      </c>
      <c r="AE28" s="6">
        <v>0</v>
      </c>
      <c r="AF28" s="6">
        <v>0</v>
      </c>
      <c r="AG28" s="6">
        <v>0</v>
      </c>
      <c r="AH28" s="6">
        <v>0</v>
      </c>
      <c r="AI28" s="147">
        <v>6462</v>
      </c>
    </row>
    <row r="29" spans="2:35" x14ac:dyDescent="0.25">
      <c r="B29" t="s">
        <v>929</v>
      </c>
      <c r="C29" s="6">
        <v>0</v>
      </c>
      <c r="D29" s="6">
        <v>0</v>
      </c>
      <c r="E29" s="6">
        <v>4743</v>
      </c>
      <c r="F29" s="6">
        <v>0</v>
      </c>
      <c r="G29" s="6">
        <v>0</v>
      </c>
      <c r="H29" s="6">
        <v>71</v>
      </c>
      <c r="I29" s="6">
        <v>6</v>
      </c>
      <c r="J29" s="6">
        <v>35836</v>
      </c>
      <c r="K29" s="6">
        <v>4034</v>
      </c>
      <c r="L29" s="6">
        <v>48</v>
      </c>
      <c r="M29" s="6">
        <v>0</v>
      </c>
      <c r="N29" s="6">
        <v>0</v>
      </c>
      <c r="O29" s="6">
        <v>2082</v>
      </c>
      <c r="P29" s="6">
        <v>300</v>
      </c>
      <c r="Q29" s="6">
        <v>2</v>
      </c>
      <c r="R29" s="6">
        <v>3136</v>
      </c>
      <c r="S29" s="6">
        <v>0</v>
      </c>
      <c r="T29" s="6">
        <v>0</v>
      </c>
      <c r="U29" s="6">
        <v>1787</v>
      </c>
      <c r="V29" s="6">
        <v>0</v>
      </c>
      <c r="W29" s="6">
        <v>1</v>
      </c>
      <c r="X29" s="6">
        <v>43</v>
      </c>
      <c r="Y29" s="6">
        <v>0</v>
      </c>
      <c r="Z29" s="6">
        <v>0</v>
      </c>
      <c r="AA29" s="6">
        <v>0</v>
      </c>
      <c r="AB29" s="6">
        <v>0</v>
      </c>
      <c r="AC29" s="6">
        <v>508</v>
      </c>
      <c r="AD29" s="6">
        <v>10</v>
      </c>
      <c r="AE29" s="6">
        <v>0</v>
      </c>
      <c r="AF29" s="6">
        <v>0</v>
      </c>
      <c r="AG29" s="6">
        <v>0</v>
      </c>
      <c r="AH29" s="6">
        <v>400</v>
      </c>
      <c r="AI29" s="147">
        <v>53007</v>
      </c>
    </row>
    <row r="30" spans="2:35" x14ac:dyDescent="0.25">
      <c r="B30" t="s">
        <v>930</v>
      </c>
      <c r="C30" s="6">
        <v>0</v>
      </c>
      <c r="D30" s="6">
        <v>0</v>
      </c>
      <c r="E30" s="6">
        <v>0</v>
      </c>
      <c r="F30" s="6">
        <v>0</v>
      </c>
      <c r="G30" s="6">
        <v>0</v>
      </c>
      <c r="H30" s="6">
        <v>5</v>
      </c>
      <c r="I30" s="6">
        <v>0</v>
      </c>
      <c r="J30" s="6">
        <v>409</v>
      </c>
      <c r="K30" s="6">
        <v>3</v>
      </c>
      <c r="L30" s="6">
        <v>0</v>
      </c>
      <c r="M30" s="6">
        <v>0</v>
      </c>
      <c r="N30" s="6">
        <v>0</v>
      </c>
      <c r="O30" s="6">
        <v>12</v>
      </c>
      <c r="P30" s="6">
        <v>0</v>
      </c>
      <c r="Q30" s="6">
        <v>0</v>
      </c>
      <c r="R30" s="6">
        <v>136</v>
      </c>
      <c r="S30" s="6">
        <v>0</v>
      </c>
      <c r="T30" s="6">
        <v>0</v>
      </c>
      <c r="U30" s="6">
        <v>400</v>
      </c>
      <c r="V30" s="6">
        <v>0</v>
      </c>
      <c r="W30" s="6">
        <v>0</v>
      </c>
      <c r="X30" s="6">
        <v>0</v>
      </c>
      <c r="Y30" s="6">
        <v>0</v>
      </c>
      <c r="Z30" s="6">
        <v>0</v>
      </c>
      <c r="AA30" s="6">
        <v>0</v>
      </c>
      <c r="AB30" s="6">
        <v>0</v>
      </c>
      <c r="AC30" s="6">
        <v>12</v>
      </c>
      <c r="AD30" s="6">
        <v>0</v>
      </c>
      <c r="AE30" s="6">
        <v>0</v>
      </c>
      <c r="AF30" s="6">
        <v>0</v>
      </c>
      <c r="AG30" s="6">
        <v>0</v>
      </c>
      <c r="AH30" s="6">
        <v>0</v>
      </c>
      <c r="AI30" s="147">
        <v>977</v>
      </c>
    </row>
    <row r="31" spans="2:35" x14ac:dyDescent="0.25">
      <c r="B31" t="s">
        <v>931</v>
      </c>
      <c r="C31" s="6">
        <v>0</v>
      </c>
      <c r="D31" s="6">
        <v>0</v>
      </c>
      <c r="E31" s="6">
        <v>89</v>
      </c>
      <c r="F31" s="6">
        <v>0</v>
      </c>
      <c r="G31" s="6">
        <v>0</v>
      </c>
      <c r="H31" s="6">
        <v>87</v>
      </c>
      <c r="I31" s="6">
        <v>0</v>
      </c>
      <c r="J31" s="6">
        <v>2013</v>
      </c>
      <c r="K31" s="6">
        <v>0</v>
      </c>
      <c r="L31" s="6">
        <v>3</v>
      </c>
      <c r="M31" s="6">
        <v>5</v>
      </c>
      <c r="N31" s="6">
        <v>0</v>
      </c>
      <c r="O31" s="6">
        <v>0</v>
      </c>
      <c r="P31" s="6">
        <v>3230</v>
      </c>
      <c r="Q31" s="6">
        <v>0</v>
      </c>
      <c r="R31" s="6">
        <v>2327</v>
      </c>
      <c r="S31" s="6">
        <v>0</v>
      </c>
      <c r="T31" s="6">
        <v>0</v>
      </c>
      <c r="U31" s="6">
        <v>0</v>
      </c>
      <c r="V31" s="6">
        <v>0</v>
      </c>
      <c r="W31" s="6">
        <v>0</v>
      </c>
      <c r="X31" s="6">
        <v>20</v>
      </c>
      <c r="Y31" s="6">
        <v>0</v>
      </c>
      <c r="Z31" s="6">
        <v>0.5</v>
      </c>
      <c r="AA31" s="6">
        <v>44</v>
      </c>
      <c r="AB31" s="6">
        <v>0</v>
      </c>
      <c r="AC31" s="6">
        <v>279</v>
      </c>
      <c r="AD31" s="6">
        <v>0</v>
      </c>
      <c r="AE31" s="6">
        <v>0</v>
      </c>
      <c r="AF31" s="6">
        <v>0</v>
      </c>
      <c r="AG31" s="6">
        <v>0</v>
      </c>
      <c r="AH31" s="6">
        <v>0</v>
      </c>
      <c r="AI31" s="147">
        <v>8097.5</v>
      </c>
    </row>
    <row r="32" spans="2:35" x14ac:dyDescent="0.25">
      <c r="B32" t="s">
        <v>932</v>
      </c>
      <c r="C32" s="6">
        <v>0</v>
      </c>
      <c r="D32" s="6">
        <v>0</v>
      </c>
      <c r="E32" s="6">
        <v>0</v>
      </c>
      <c r="F32" s="6">
        <v>0</v>
      </c>
      <c r="G32" s="6">
        <v>0</v>
      </c>
      <c r="H32" s="6">
        <v>0</v>
      </c>
      <c r="I32" s="6">
        <v>0</v>
      </c>
      <c r="J32" s="6">
        <v>433</v>
      </c>
      <c r="K32" s="6">
        <v>0</v>
      </c>
      <c r="L32" s="6">
        <v>0</v>
      </c>
      <c r="M32" s="6">
        <v>0</v>
      </c>
      <c r="N32" s="6">
        <v>0</v>
      </c>
      <c r="O32" s="6">
        <v>0</v>
      </c>
      <c r="P32" s="6">
        <v>0</v>
      </c>
      <c r="Q32" s="6">
        <v>0</v>
      </c>
      <c r="R32" s="6">
        <v>48</v>
      </c>
      <c r="S32" s="6">
        <v>0</v>
      </c>
      <c r="T32" s="6">
        <v>0</v>
      </c>
      <c r="U32" s="6">
        <v>0</v>
      </c>
      <c r="V32" s="6">
        <v>0</v>
      </c>
      <c r="W32" s="6">
        <v>0</v>
      </c>
      <c r="X32" s="6">
        <v>0</v>
      </c>
      <c r="Y32" s="6">
        <v>0</v>
      </c>
      <c r="Z32" s="6">
        <v>0</v>
      </c>
      <c r="AA32" s="6">
        <v>0</v>
      </c>
      <c r="AB32" s="6">
        <v>0</v>
      </c>
      <c r="AC32" s="6">
        <v>0</v>
      </c>
      <c r="AD32" s="6">
        <v>0</v>
      </c>
      <c r="AE32" s="6">
        <v>0</v>
      </c>
      <c r="AF32" s="6">
        <v>0</v>
      </c>
      <c r="AG32" s="6">
        <v>0</v>
      </c>
      <c r="AH32" s="6">
        <v>0</v>
      </c>
      <c r="AI32" s="147">
        <v>481</v>
      </c>
    </row>
    <row r="33" spans="2:35" x14ac:dyDescent="0.25">
      <c r="B33" t="s">
        <v>933</v>
      </c>
      <c r="C33" s="6">
        <v>0</v>
      </c>
      <c r="D33" s="6">
        <v>0</v>
      </c>
      <c r="E33" s="6">
        <v>0</v>
      </c>
      <c r="F33" s="6">
        <v>0</v>
      </c>
      <c r="G33" s="6">
        <v>0</v>
      </c>
      <c r="H33" s="6">
        <v>0</v>
      </c>
      <c r="I33" s="6">
        <v>0</v>
      </c>
      <c r="J33" s="6">
        <v>2335</v>
      </c>
      <c r="K33" s="6">
        <v>0</v>
      </c>
      <c r="L33" s="6">
        <v>0</v>
      </c>
      <c r="M33" s="6">
        <v>0</v>
      </c>
      <c r="N33" s="6">
        <v>0</v>
      </c>
      <c r="O33" s="6">
        <v>0</v>
      </c>
      <c r="P33" s="6">
        <v>0</v>
      </c>
      <c r="Q33" s="6">
        <v>0</v>
      </c>
      <c r="R33" s="6">
        <v>2584</v>
      </c>
      <c r="S33" s="6">
        <v>0</v>
      </c>
      <c r="T33" s="6">
        <v>0</v>
      </c>
      <c r="U33" s="6">
        <v>0</v>
      </c>
      <c r="V33" s="6">
        <v>0</v>
      </c>
      <c r="W33" s="6">
        <v>0</v>
      </c>
      <c r="X33" s="6">
        <v>0</v>
      </c>
      <c r="Y33" s="6">
        <v>0</v>
      </c>
      <c r="Z33" s="6">
        <v>0</v>
      </c>
      <c r="AA33" s="6">
        <v>0</v>
      </c>
      <c r="AB33" s="6">
        <v>0</v>
      </c>
      <c r="AC33" s="6">
        <v>590</v>
      </c>
      <c r="AD33" s="6">
        <v>0</v>
      </c>
      <c r="AE33" s="6">
        <v>0</v>
      </c>
      <c r="AF33" s="6">
        <v>0</v>
      </c>
      <c r="AG33" s="6">
        <v>0</v>
      </c>
      <c r="AH33" s="6">
        <v>0</v>
      </c>
      <c r="AI33" s="147">
        <v>5509</v>
      </c>
    </row>
    <row r="34" spans="2:35" x14ac:dyDescent="0.25">
      <c r="B34" t="s">
        <v>934</v>
      </c>
      <c r="C34" s="6">
        <v>0</v>
      </c>
      <c r="D34" s="6">
        <v>0</v>
      </c>
      <c r="E34" s="6">
        <v>0</v>
      </c>
      <c r="F34" s="6">
        <v>0</v>
      </c>
      <c r="G34" s="6">
        <v>0</v>
      </c>
      <c r="H34" s="6">
        <v>124</v>
      </c>
      <c r="I34" s="6">
        <v>0</v>
      </c>
      <c r="J34" s="6">
        <v>0</v>
      </c>
      <c r="K34" s="6">
        <v>0</v>
      </c>
      <c r="L34" s="6">
        <v>0</v>
      </c>
      <c r="M34" s="6">
        <v>0</v>
      </c>
      <c r="N34" s="6">
        <v>0</v>
      </c>
      <c r="O34" s="6">
        <v>0</v>
      </c>
      <c r="P34" s="6">
        <v>0</v>
      </c>
      <c r="Q34" s="6">
        <v>0</v>
      </c>
      <c r="R34" s="6">
        <v>0</v>
      </c>
      <c r="S34" s="6">
        <v>0</v>
      </c>
      <c r="T34" s="6">
        <v>0</v>
      </c>
      <c r="U34" s="6">
        <v>0</v>
      </c>
      <c r="V34" s="6">
        <v>0</v>
      </c>
      <c r="W34" s="6">
        <v>0</v>
      </c>
      <c r="X34" s="6">
        <v>200</v>
      </c>
      <c r="Y34" s="6">
        <v>0</v>
      </c>
      <c r="Z34" s="6">
        <v>5004.7</v>
      </c>
      <c r="AA34" s="6">
        <v>0</v>
      </c>
      <c r="AB34" s="6">
        <v>0</v>
      </c>
      <c r="AC34" s="6">
        <v>0</v>
      </c>
      <c r="AD34" s="6">
        <v>0</v>
      </c>
      <c r="AE34" s="6">
        <v>0</v>
      </c>
      <c r="AF34" s="6">
        <v>0</v>
      </c>
      <c r="AG34" s="6">
        <v>0</v>
      </c>
      <c r="AH34" s="6">
        <v>0</v>
      </c>
      <c r="AI34" s="147">
        <v>5328.7</v>
      </c>
    </row>
    <row r="35" spans="2:35" x14ac:dyDescent="0.25">
      <c r="B35" s="76" t="s">
        <v>935</v>
      </c>
      <c r="C35" s="30">
        <v>222.87303585652154</v>
      </c>
      <c r="D35" s="30">
        <v>10</v>
      </c>
      <c r="E35" s="30">
        <v>0</v>
      </c>
      <c r="F35" s="30">
        <v>0</v>
      </c>
      <c r="G35" s="30">
        <v>0</v>
      </c>
      <c r="H35" s="30">
        <v>0</v>
      </c>
      <c r="I35" s="30">
        <v>0</v>
      </c>
      <c r="J35" s="30">
        <v>250</v>
      </c>
      <c r="K35" s="30">
        <v>0</v>
      </c>
      <c r="L35" s="30">
        <v>12</v>
      </c>
      <c r="M35" s="30">
        <v>4</v>
      </c>
      <c r="N35" s="30">
        <v>0</v>
      </c>
      <c r="O35" s="30">
        <v>1</v>
      </c>
      <c r="P35" s="30">
        <v>869</v>
      </c>
      <c r="Q35" s="30">
        <v>0</v>
      </c>
      <c r="R35" s="30">
        <v>0</v>
      </c>
      <c r="S35" s="30">
        <v>0</v>
      </c>
      <c r="T35" s="30">
        <v>0</v>
      </c>
      <c r="U35" s="30">
        <v>0</v>
      </c>
      <c r="V35" s="30">
        <v>0</v>
      </c>
      <c r="W35" s="30">
        <v>1</v>
      </c>
      <c r="X35" s="30">
        <v>180</v>
      </c>
      <c r="Y35" s="30">
        <v>155.50590991230018</v>
      </c>
      <c r="Z35" s="30">
        <v>140.78935121432775</v>
      </c>
      <c r="AA35" s="30">
        <v>0</v>
      </c>
      <c r="AB35" s="30">
        <v>0</v>
      </c>
      <c r="AC35" s="30">
        <v>0</v>
      </c>
      <c r="AD35" s="30">
        <v>284.43915162212602</v>
      </c>
      <c r="AE35" s="30">
        <v>0</v>
      </c>
      <c r="AF35" s="30">
        <v>0</v>
      </c>
      <c r="AG35" s="30">
        <v>126</v>
      </c>
      <c r="AH35" s="30">
        <v>104.8537772815782</v>
      </c>
      <c r="AI35" s="29">
        <v>2361.4612258868538</v>
      </c>
    </row>
    <row r="36" spans="2:35" x14ac:dyDescent="0.25">
      <c r="B36" t="s">
        <v>936</v>
      </c>
      <c r="C36" s="6">
        <v>5556.9375612755885</v>
      </c>
      <c r="D36" s="6">
        <v>1136</v>
      </c>
      <c r="E36" s="6">
        <v>80722</v>
      </c>
      <c r="F36" s="6">
        <v>652</v>
      </c>
      <c r="G36" s="6">
        <v>18221</v>
      </c>
      <c r="H36" s="6">
        <v>116771</v>
      </c>
      <c r="I36" s="6">
        <v>9447</v>
      </c>
      <c r="J36" s="6">
        <v>72048</v>
      </c>
      <c r="K36" s="6">
        <v>39952</v>
      </c>
      <c r="L36" s="6">
        <v>2983</v>
      </c>
      <c r="M36" s="6">
        <v>2339</v>
      </c>
      <c r="N36" s="6">
        <v>2468.5959477562001</v>
      </c>
      <c r="O36" s="6">
        <v>17762</v>
      </c>
      <c r="P36" s="6">
        <v>75196</v>
      </c>
      <c r="Q36" s="6">
        <v>2104</v>
      </c>
      <c r="R36" s="6">
        <v>27396</v>
      </c>
      <c r="S36" s="6">
        <v>66</v>
      </c>
      <c r="T36" s="6">
        <v>9356</v>
      </c>
      <c r="U36" s="6">
        <v>4654</v>
      </c>
      <c r="V36" s="6">
        <v>21021</v>
      </c>
      <c r="W36" s="6">
        <v>23612</v>
      </c>
      <c r="X36" s="6">
        <v>56256</v>
      </c>
      <c r="Y36" s="6">
        <v>6845.9992886055925</v>
      </c>
      <c r="Z36" s="6">
        <v>84374.473373363944</v>
      </c>
      <c r="AA36" s="6">
        <v>6555</v>
      </c>
      <c r="AB36" s="6">
        <v>8798</v>
      </c>
      <c r="AC36" s="6">
        <v>4687</v>
      </c>
      <c r="AD36" s="6">
        <v>17886.228159800485</v>
      </c>
      <c r="AE36" s="6">
        <v>16021</v>
      </c>
      <c r="AF36" s="6">
        <v>17114</v>
      </c>
      <c r="AG36" s="6">
        <v>48914.401330047076</v>
      </c>
      <c r="AH36" s="6">
        <v>20041.080476702929</v>
      </c>
      <c r="AI36" s="147">
        <v>820956.71613755182</v>
      </c>
    </row>
    <row r="37" spans="2:35" x14ac:dyDescent="0.25">
      <c r="B37" s="76" t="s">
        <v>937</v>
      </c>
      <c r="C37" s="30">
        <v>0</v>
      </c>
      <c r="D37" s="30">
        <v>0</v>
      </c>
      <c r="E37" s="30">
        <v>18366</v>
      </c>
      <c r="F37" s="30">
        <v>0</v>
      </c>
      <c r="G37" s="30">
        <v>0</v>
      </c>
      <c r="H37" s="30">
        <v>604</v>
      </c>
      <c r="I37" s="30">
        <v>323</v>
      </c>
      <c r="J37" s="30">
        <v>0</v>
      </c>
      <c r="K37" s="30">
        <v>3536</v>
      </c>
      <c r="L37" s="30">
        <v>0</v>
      </c>
      <c r="M37" s="30">
        <v>0</v>
      </c>
      <c r="N37" s="30">
        <v>0</v>
      </c>
      <c r="O37" s="30">
        <v>1160</v>
      </c>
      <c r="P37" s="30">
        <v>5771</v>
      </c>
      <c r="Q37" s="30">
        <v>0</v>
      </c>
      <c r="R37" s="30">
        <v>0</v>
      </c>
      <c r="S37" s="30">
        <v>0</v>
      </c>
      <c r="T37" s="30">
        <v>0</v>
      </c>
      <c r="U37" s="30">
        <v>0</v>
      </c>
      <c r="V37" s="30">
        <v>800</v>
      </c>
      <c r="W37" s="30">
        <v>0</v>
      </c>
      <c r="X37" s="30">
        <v>557</v>
      </c>
      <c r="Y37" s="30">
        <v>0</v>
      </c>
      <c r="Z37" s="30">
        <v>0</v>
      </c>
      <c r="AA37" s="30">
        <v>0</v>
      </c>
      <c r="AB37" s="30">
        <v>0</v>
      </c>
      <c r="AC37" s="30">
        <v>0</v>
      </c>
      <c r="AD37" s="30">
        <v>0</v>
      </c>
      <c r="AE37" s="30">
        <v>0</v>
      </c>
      <c r="AF37" s="30">
        <v>0</v>
      </c>
      <c r="AG37" s="30">
        <v>3647.6825872610002</v>
      </c>
      <c r="AH37" s="30">
        <v>0</v>
      </c>
      <c r="AI37" s="29">
        <v>34764.682587260999</v>
      </c>
    </row>
    <row r="38" spans="2:35" x14ac:dyDescent="0.25">
      <c r="B38" t="s">
        <v>938</v>
      </c>
      <c r="C38" s="6">
        <v>5556.9375612755885</v>
      </c>
      <c r="D38" s="6">
        <v>1136</v>
      </c>
      <c r="E38" s="6">
        <v>62356</v>
      </c>
      <c r="F38" s="6">
        <v>652</v>
      </c>
      <c r="G38" s="6">
        <v>18221</v>
      </c>
      <c r="H38" s="6">
        <v>116167</v>
      </c>
      <c r="I38" s="6">
        <v>9124</v>
      </c>
      <c r="J38" s="6">
        <v>72048</v>
      </c>
      <c r="K38" s="6">
        <v>36416</v>
      </c>
      <c r="L38" s="6">
        <v>2983</v>
      </c>
      <c r="M38" s="6">
        <v>2339</v>
      </c>
      <c r="N38" s="6">
        <v>2468.5959477562001</v>
      </c>
      <c r="O38" s="6">
        <v>16602</v>
      </c>
      <c r="P38" s="6">
        <v>69425</v>
      </c>
      <c r="Q38" s="6">
        <v>2104</v>
      </c>
      <c r="R38" s="6">
        <v>27396</v>
      </c>
      <c r="S38" s="6">
        <v>66</v>
      </c>
      <c r="T38" s="6">
        <v>9356</v>
      </c>
      <c r="U38" s="6">
        <v>4654</v>
      </c>
      <c r="V38" s="6">
        <v>20221</v>
      </c>
      <c r="W38" s="6">
        <v>23612</v>
      </c>
      <c r="X38" s="6">
        <v>55699</v>
      </c>
      <c r="Y38" s="6">
        <v>6845.9992886055925</v>
      </c>
      <c r="Z38" s="6">
        <v>84374.473373363944</v>
      </c>
      <c r="AA38" s="6">
        <v>6555</v>
      </c>
      <c r="AB38" s="6">
        <v>8798</v>
      </c>
      <c r="AC38" s="6">
        <v>4687</v>
      </c>
      <c r="AD38" s="6">
        <v>17886.228159800485</v>
      </c>
      <c r="AE38" s="6">
        <v>16021</v>
      </c>
      <c r="AF38" s="6">
        <v>17114</v>
      </c>
      <c r="AG38" s="6">
        <v>45266.683314677379</v>
      </c>
      <c r="AH38" s="6">
        <v>20041.080476702929</v>
      </c>
      <c r="AI38" s="147">
        <v>786191.99812218209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Metadata</vt:lpstr>
      <vt:lpstr>1. Pop</vt:lpstr>
      <vt:lpstr>2. StateWith</vt:lpstr>
      <vt:lpstr>3. Category%</vt:lpstr>
      <vt:lpstr>4. %Measured</vt:lpstr>
      <vt:lpstr>5. CountyWith</vt:lpstr>
      <vt:lpstr>6. RvbWith</vt:lpstr>
      <vt:lpstr>7. PWS&amp;Dom</vt:lpstr>
      <vt:lpstr>8. IrrigatedAg</vt:lpstr>
      <vt:lpstr>9. AcresCounty</vt:lpstr>
      <vt:lpstr>10. AcresRvb</vt:lpstr>
      <vt:lpstr>Livestock populations</vt:lpstr>
      <vt:lpstr>Livestock withdrawals</vt:lpstr>
      <vt:lpstr>Power</vt:lpstr>
      <vt:lpstr>Reservoirs</vt:lpstr>
      <vt:lpstr>CropTypes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Harms</dc:creator>
  <cp:lastModifiedBy>WUCB</cp:lastModifiedBy>
  <dcterms:created xsi:type="dcterms:W3CDTF">2015-06-05T18:17:20Z</dcterms:created>
  <dcterms:modified xsi:type="dcterms:W3CDTF">2025-01-08T22:35:52Z</dcterms:modified>
</cp:coreProperties>
</file>